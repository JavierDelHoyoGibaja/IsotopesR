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delhoyo\PhD\Study cases\Genissiat\Arve-Valserine\Isotopes\GitHub Isotopes\Data\"/>
    </mc:Choice>
  </mc:AlternateContent>
  <xr:revisionPtr revIDLastSave="0" documentId="13_ncr:1_{4AA17637-66C5-4BD3-B049-7825AFB6AAD1}" xr6:coauthVersionLast="47" xr6:coauthVersionMax="47" xr10:uidLastSave="{00000000-0000-0000-0000-000000000000}"/>
  <bookViews>
    <workbookView xWindow="-108" yWindow="-108" windowWidth="23256" windowHeight="12576" activeTab="1" xr2:uid="{6280CF7E-07DA-4890-A4C5-7C2095AA590F}"/>
  </bookViews>
  <sheets>
    <sheet name="AllSorges 2 NL No Legend Order2" sheetId="2" r:id="rId1"/>
    <sheet name="AllSorgesMean" sheetId="5" r:id="rId2"/>
  </sheets>
  <externalReferences>
    <externalReference r:id="rId3"/>
  </externalReferences>
  <definedNames>
    <definedName name="_xlnm._FilterDatabase" localSheetId="0" hidden="1">'AllSorges 2 NL No Legend Order2'!$A$1:$M$361</definedName>
    <definedName name="_xlnm._FilterDatabase" localSheetId="1" hidden="1">AllSorgesMean!$A$1:$L$37</definedName>
    <definedName name="_xlchart.v1.0" hidden="1">'AllSorges 2 NL No Legend Order2'!$B$102:$B$111</definedName>
    <definedName name="_xlchart.v1.1" hidden="1">'AllSorges 2 NL No Legend Order2'!$B$162:$B$171</definedName>
    <definedName name="_xlchart.v1.10" hidden="1">'AllSorges 2 NL No Legend Order2'!$K$102</definedName>
    <definedName name="_xlchart.v1.100" hidden="1">'AllSorges 2 NL No Legend Order2'!$E$42</definedName>
    <definedName name="_xlchart.v1.101" hidden="1">'AllSorges 2 NL No Legend Order2'!$K$122</definedName>
    <definedName name="_xlchart.v1.102" hidden="1">'AllSorges 2 NL No Legend Order2'!$K$192</definedName>
    <definedName name="_xlchart.v1.103" hidden="1">'AllSorges 2 NL No Legend Order2'!$K$212</definedName>
    <definedName name="_xlchart.v1.104" hidden="1">'AllSorges 2 NL No Legend Order2'!$K$252</definedName>
    <definedName name="_xlchart.v1.105" hidden="1">'AllSorges 2 NL No Legend Order2'!$K$292</definedName>
    <definedName name="_xlchart.v1.106" hidden="1">'AllSorges 2 NL No Legend Order2'!$K$332</definedName>
    <definedName name="_xlchart.v1.107" hidden="1">'AllSorges 2 NL No Legend Order2'!$K$52</definedName>
    <definedName name="_xlchart.v1.108" hidden="1">'AllSorges 2 NL No Legend Order2'!$C$132:$C$141</definedName>
    <definedName name="_xlchart.v1.109" hidden="1">'AllSorges 2 NL No Legend Order2'!$C$172:$C$181</definedName>
    <definedName name="_xlchart.v1.11" hidden="1">'AllSorges 2 NL No Legend Order2'!$K$152</definedName>
    <definedName name="_xlchart.v1.110" hidden="1">'AllSorges 2 NL No Legend Order2'!$C$202:$C$211</definedName>
    <definedName name="_xlchart.v1.111" hidden="1">'AllSorges 2 NL No Legend Order2'!$C$212:$C$221</definedName>
    <definedName name="_xlchart.v1.112" hidden="1">'AllSorges 2 NL No Legend Order2'!$C$252:$C$261</definedName>
    <definedName name="_xlchart.v1.113" hidden="1">'AllSorges 2 NL No Legend Order2'!$C$292:$C$301</definedName>
    <definedName name="_xlchart.v1.114" hidden="1">'AllSorges 2 NL No Legend Order2'!$C$332:$C$341</definedName>
    <definedName name="_xlchart.v1.115" hidden="1">'AllSorges 2 NL No Legend Order2'!$C$42:$C$51</definedName>
    <definedName name="_xlchart.v1.116" hidden="1">'AllSorges 2 NL No Legend Order2'!$C$62:$C$71</definedName>
    <definedName name="_xlchart.v1.117" hidden="1">'AllSorges 2 NL No Legend Order2'!$E$42</definedName>
    <definedName name="_xlchart.v1.118" hidden="1">'AllSorges 2 NL No Legend Order2'!$K$132</definedName>
    <definedName name="_xlchart.v1.119" hidden="1">'AllSorges 2 NL No Legend Order2'!$K$182</definedName>
    <definedName name="_xlchart.v1.12" hidden="1">'AllSorges 2 NL No Legend Order2'!$K$212</definedName>
    <definedName name="_xlchart.v1.120" hidden="1">'AllSorges 2 NL No Legend Order2'!$K$202</definedName>
    <definedName name="_xlchart.v1.121" hidden="1">'AllSorges 2 NL No Legend Order2'!$K$212</definedName>
    <definedName name="_xlchart.v1.122" hidden="1">'AllSorges 2 NL No Legend Order2'!$K$252</definedName>
    <definedName name="_xlchart.v1.123" hidden="1">'AllSorges 2 NL No Legend Order2'!$K$292</definedName>
    <definedName name="_xlchart.v1.124" hidden="1">'AllSorges 2 NL No Legend Order2'!$K$332</definedName>
    <definedName name="_xlchart.v1.125" hidden="1">'AllSorges 2 NL No Legend Order2'!$K$62</definedName>
    <definedName name="_xlchart.v1.126" hidden="1">'AllSorges 2 NL No Legend Order2'!$C$122:$C$131</definedName>
    <definedName name="_xlchart.v1.127" hidden="1">'AllSorges 2 NL No Legend Order2'!$C$182:$C$191</definedName>
    <definedName name="_xlchart.v1.128" hidden="1">'AllSorges 2 NL No Legend Order2'!$C$192:$C$201</definedName>
    <definedName name="_xlchart.v1.129" hidden="1">'AllSorges 2 NL No Legend Order2'!$C$222:$C$231</definedName>
    <definedName name="_xlchart.v1.13" hidden="1">'AllSorges 2 NL No Legend Order2'!$K$22</definedName>
    <definedName name="_xlchart.v1.130" hidden="1">'AllSorges 2 NL No Legend Order2'!$C$262:$C$271</definedName>
    <definedName name="_xlchart.v1.131" hidden="1">'AllSorges 2 NL No Legend Order2'!$C$302:$C$311</definedName>
    <definedName name="_xlchart.v1.132" hidden="1">'AllSorges 2 NL No Legend Order2'!$C$342:$C$351</definedName>
    <definedName name="_xlchart.v1.133" hidden="1">'AllSorges 2 NL No Legend Order2'!$C$42:$C$51</definedName>
    <definedName name="_xlchart.v1.134" hidden="1">'AllSorges 2 NL No Legend Order2'!$C$52:$C$61</definedName>
    <definedName name="_xlchart.v1.135" hidden="1">'AllSorges 2 NL No Legend Order2'!$E$42</definedName>
    <definedName name="_xlchart.v1.136" hidden="1">'AllSorges 2 NL No Legend Order2'!$K$122</definedName>
    <definedName name="_xlchart.v1.137" hidden="1">'AllSorges 2 NL No Legend Order2'!$K$182</definedName>
    <definedName name="_xlchart.v1.138" hidden="1">'AllSorges 2 NL No Legend Order2'!$K$192</definedName>
    <definedName name="_xlchart.v1.139" hidden="1">'AllSorges 2 NL No Legend Order2'!$K$212</definedName>
    <definedName name="_xlchart.v1.14" hidden="1">'AllSorges 2 NL No Legend Order2'!$K$252</definedName>
    <definedName name="_xlchart.v1.140" hidden="1">'AllSorges 2 NL No Legend Order2'!$K$252</definedName>
    <definedName name="_xlchart.v1.141" hidden="1">'AllSorges 2 NL No Legend Order2'!$K$292</definedName>
    <definedName name="_xlchart.v1.142" hidden="1">'AllSorges 2 NL No Legend Order2'!$K$332</definedName>
    <definedName name="_xlchart.v1.143" hidden="1">'AllSorges 2 NL No Legend Order2'!$K$52</definedName>
    <definedName name="_xlchart.v1.15" hidden="1">'AllSorges 2 NL No Legend Order2'!$K$292</definedName>
    <definedName name="_xlchart.v1.16" hidden="1">'AllSorges 2 NL No Legend Order2'!$K$332</definedName>
    <definedName name="_xlchart.v1.17" hidden="1">'AllSorges 2 NL No Legend Order2'!$K$82</definedName>
    <definedName name="_xlchart.v1.18" hidden="1">'AllSorges 2 NL No Legend Order2'!$AF$81:$AF$90</definedName>
    <definedName name="_xlchart.v1.19" hidden="1">'AllSorges 2 NL No Legend Order2'!$AG$81</definedName>
    <definedName name="_xlchart.v1.2" hidden="1">'AllSorges 2 NL No Legend Order2'!$B$22:$B$31</definedName>
    <definedName name="_xlchart.v1.20" hidden="1">'AllSorges 2 NL No Legend Order2'!$B$12:$B$21</definedName>
    <definedName name="_xlchart.v1.21" hidden="1">'AllSorges 2 NL No Legend Order2'!$B$142:$B$151</definedName>
    <definedName name="_xlchart.v1.22" hidden="1">'AllSorges 2 NL No Legend Order2'!$B$152:$B$161</definedName>
    <definedName name="_xlchart.v1.23" hidden="1">'AllSorges 2 NL No Legend Order2'!$B$242:$B$251</definedName>
    <definedName name="_xlchart.v1.24" hidden="1">'AllSorges 2 NL No Legend Order2'!$B$282:$B$291</definedName>
    <definedName name="_xlchart.v1.25" hidden="1">'AllSorges 2 NL No Legend Order2'!$B$2:$B$11</definedName>
    <definedName name="_xlchart.v1.26" hidden="1">'AllSorges 2 NL No Legend Order2'!$B$322:$B$331</definedName>
    <definedName name="_xlchart.v1.27" hidden="1">'AllSorges 2 NL No Legend Order2'!$B$82:$B$91</definedName>
    <definedName name="_xlchart.v1.28" hidden="1">'AllSorges 2 NL No Legend Order2'!$E$2</definedName>
    <definedName name="_xlchart.v1.29" hidden="1">'AllSorges 2 NL No Legend Order2'!$K$102</definedName>
    <definedName name="_xlchart.v1.3" hidden="1">'AllSorges 2 NL No Legend Order2'!$B$232:$B$241</definedName>
    <definedName name="_xlchart.v1.30" hidden="1">'AllSorges 2 NL No Legend Order2'!$K$152</definedName>
    <definedName name="_xlchart.v1.31" hidden="1">'AllSorges 2 NL No Legend Order2'!$K$212</definedName>
    <definedName name="_xlchart.v1.32" hidden="1">'AllSorges 2 NL No Legend Order2'!$K$22</definedName>
    <definedName name="_xlchart.v1.33" hidden="1">'AllSorges 2 NL No Legend Order2'!$K$252</definedName>
    <definedName name="_xlchart.v1.34" hidden="1">'AllSorges 2 NL No Legend Order2'!$K$292</definedName>
    <definedName name="_xlchart.v1.35" hidden="1">'AllSorges 2 NL No Legend Order2'!$K$82</definedName>
    <definedName name="_xlchart.v1.36" hidden="1">'AllSorges 2 NL No Legend Order2'!$C$102:$C$111</definedName>
    <definedName name="_xlchart.v1.37" hidden="1">'AllSorges 2 NL No Legend Order2'!$C$162:$C$171</definedName>
    <definedName name="_xlchart.v1.38" hidden="1">'AllSorges 2 NL No Legend Order2'!$C$22:$C$31</definedName>
    <definedName name="_xlchart.v1.39" hidden="1">'AllSorges 2 NL No Legend Order2'!$C$232:$C$241</definedName>
    <definedName name="_xlchart.v1.4" hidden="1">'AllSorges 2 NL No Legend Order2'!$B$272:$B$281</definedName>
    <definedName name="_xlchart.v1.40" hidden="1">'AllSorges 2 NL No Legend Order2'!$C$272:$C$281</definedName>
    <definedName name="_xlchart.v1.41" hidden="1">'AllSorges 2 NL No Legend Order2'!$C$2:$C$11</definedName>
    <definedName name="_xlchart.v1.42" hidden="1">'AllSorges 2 NL No Legend Order2'!$C$312:$C$321</definedName>
    <definedName name="_xlchart.v1.43" hidden="1">'AllSorges 2 NL No Legend Order2'!$C$352:$C$361</definedName>
    <definedName name="_xlchart.v1.44" hidden="1">'AllSorges 2 NL No Legend Order2'!$C$92:$C$101</definedName>
    <definedName name="_xlchart.v1.45" hidden="1">'AllSorges 2 NL No Legend Order2'!$E$2</definedName>
    <definedName name="_xlchart.v1.46" hidden="1">'AllSorges 2 NL No Legend Order2'!$K$102</definedName>
    <definedName name="_xlchart.v1.47" hidden="1">'AllSorges 2 NL No Legend Order2'!$K$152</definedName>
    <definedName name="_xlchart.v1.48" hidden="1">'AllSorges 2 NL No Legend Order2'!$K$212</definedName>
    <definedName name="_xlchart.v1.49" hidden="1">'AllSorges 2 NL No Legend Order2'!$K$22</definedName>
    <definedName name="_xlchart.v1.5" hidden="1">'AllSorges 2 NL No Legend Order2'!$B$2:$B$11</definedName>
    <definedName name="_xlchart.v1.50" hidden="1">'AllSorges 2 NL No Legend Order2'!$K$252</definedName>
    <definedName name="_xlchart.v1.51" hidden="1">'AllSorges 2 NL No Legend Order2'!$K$292</definedName>
    <definedName name="_xlchart.v1.52" hidden="1">'AllSorges 2 NL No Legend Order2'!$K$332</definedName>
    <definedName name="_xlchart.v1.53" hidden="1">'AllSorges 2 NL No Legend Order2'!$K$82</definedName>
    <definedName name="_xlchart.v1.54" hidden="1">'AllSorges 2 NL No Legend Order2'!$B$132:$B$141</definedName>
    <definedName name="_xlchart.v1.55" hidden="1">'AllSorges 2 NL No Legend Order2'!$B$172:$B$181</definedName>
    <definedName name="_xlchart.v1.56" hidden="1">'AllSorges 2 NL No Legend Order2'!$B$202:$B$211</definedName>
    <definedName name="_xlchart.v1.57" hidden="1">'AllSorges 2 NL No Legend Order2'!$B$212:$B$221</definedName>
    <definedName name="_xlchart.v1.58" hidden="1">'AllSorges 2 NL No Legend Order2'!$B$252:$B$261</definedName>
    <definedName name="_xlchart.v1.59" hidden="1">'AllSorges 2 NL No Legend Order2'!$B$292:$B$301</definedName>
    <definedName name="_xlchart.v1.6" hidden="1">'AllSorges 2 NL No Legend Order2'!$B$312:$B$321</definedName>
    <definedName name="_xlchart.v1.60" hidden="1">'AllSorges 2 NL No Legend Order2'!$B$332:$B$341</definedName>
    <definedName name="_xlchart.v1.61" hidden="1">'AllSorges 2 NL No Legend Order2'!$B$42:$B$51</definedName>
    <definedName name="_xlchart.v1.62" hidden="1">'AllSorges 2 NL No Legend Order2'!$B$62:$B$71</definedName>
    <definedName name="_xlchart.v1.63" hidden="1">'AllSorges 2 NL No Legend Order2'!$E$42</definedName>
    <definedName name="_xlchart.v1.64" hidden="1">'AllSorges 2 NL No Legend Order2'!$K$132</definedName>
    <definedName name="_xlchart.v1.65" hidden="1">'AllSorges 2 NL No Legend Order2'!$K$182</definedName>
    <definedName name="_xlchart.v1.66" hidden="1">'AllSorges 2 NL No Legend Order2'!$K$202</definedName>
    <definedName name="_xlchart.v1.67" hidden="1">'AllSorges 2 NL No Legend Order2'!$K$212</definedName>
    <definedName name="_xlchart.v1.68" hidden="1">'AllSorges 2 NL No Legend Order2'!$K$252</definedName>
    <definedName name="_xlchart.v1.69" hidden="1">'AllSorges 2 NL No Legend Order2'!$K$292</definedName>
    <definedName name="_xlchart.v1.7" hidden="1">'AllSorges 2 NL No Legend Order2'!$B$352:$B$361</definedName>
    <definedName name="_xlchart.v1.70" hidden="1">'AllSorges 2 NL No Legend Order2'!$K$332</definedName>
    <definedName name="_xlchart.v1.71" hidden="1">'AllSorges 2 NL No Legend Order2'!$K$42</definedName>
    <definedName name="_xlchart.v1.72" hidden="1">'AllSorges 2 NL No Legend Order2'!$K$62</definedName>
    <definedName name="_xlchart.v1.73" hidden="1">'AllSorges 2 NL No Legend Order2'!$AF$81:$AF$90</definedName>
    <definedName name="_xlchart.v1.74" hidden="1">'AllSorges 2 NL No Legend Order2'!$AG$81</definedName>
    <definedName name="_xlchart.v1.75" hidden="1">'AllSorges 2 NL No Legend Order2'!$C$12:$C$21</definedName>
    <definedName name="_xlchart.v1.76" hidden="1">'AllSorges 2 NL No Legend Order2'!$C$142:$C$151</definedName>
    <definedName name="_xlchart.v1.77" hidden="1">'AllSorges 2 NL No Legend Order2'!$C$152:$C$161</definedName>
    <definedName name="_xlchart.v1.78" hidden="1">'AllSorges 2 NL No Legend Order2'!$C$242:$C$251</definedName>
    <definedName name="_xlchart.v1.79" hidden="1">'AllSorges 2 NL No Legend Order2'!$C$282:$C$291</definedName>
    <definedName name="_xlchart.v1.8" hidden="1">'AllSorges 2 NL No Legend Order2'!$B$92:$B$101</definedName>
    <definedName name="_xlchart.v1.80" hidden="1">'AllSorges 2 NL No Legend Order2'!$C$2:$C$11</definedName>
    <definedName name="_xlchart.v1.81" hidden="1">'AllSorges 2 NL No Legend Order2'!$C$322:$C$331</definedName>
    <definedName name="_xlchart.v1.82" hidden="1">'AllSorges 2 NL No Legend Order2'!$C$82:$C$91</definedName>
    <definedName name="_xlchart.v1.83" hidden="1">'AllSorges 2 NL No Legend Order2'!$E$2</definedName>
    <definedName name="_xlchart.v1.84" hidden="1">'AllSorges 2 NL No Legend Order2'!$K$102</definedName>
    <definedName name="_xlchart.v1.85" hidden="1">'AllSorges 2 NL No Legend Order2'!$K$152</definedName>
    <definedName name="_xlchart.v1.86" hidden="1">'AllSorges 2 NL No Legend Order2'!$K$212</definedName>
    <definedName name="_xlchart.v1.87" hidden="1">'AllSorges 2 NL No Legend Order2'!$K$22</definedName>
    <definedName name="_xlchart.v1.88" hidden="1">'AllSorges 2 NL No Legend Order2'!$K$252</definedName>
    <definedName name="_xlchart.v1.89" hidden="1">'AllSorges 2 NL No Legend Order2'!$K$292</definedName>
    <definedName name="_xlchart.v1.9" hidden="1">'AllSorges 2 NL No Legend Order2'!$E$2</definedName>
    <definedName name="_xlchart.v1.90" hidden="1">'AllSorges 2 NL No Legend Order2'!$K$82</definedName>
    <definedName name="_xlchart.v1.91" hidden="1">'AllSorges 2 NL No Legend Order2'!$B$122:$B$131</definedName>
    <definedName name="_xlchart.v1.92" hidden="1">'AllSorges 2 NL No Legend Order2'!$B$182:$B$191</definedName>
    <definedName name="_xlchart.v1.93" hidden="1">'AllSorges 2 NL No Legend Order2'!$B$192:$B$201</definedName>
    <definedName name="_xlchart.v1.94" hidden="1">'AllSorges 2 NL No Legend Order2'!$B$222:$B$231</definedName>
    <definedName name="_xlchart.v1.95" hidden="1">'AllSorges 2 NL No Legend Order2'!$B$262:$B$271</definedName>
    <definedName name="_xlchart.v1.96" hidden="1">'AllSorges 2 NL No Legend Order2'!$B$302:$B$311</definedName>
    <definedName name="_xlchart.v1.97" hidden="1">'AllSorges 2 NL No Legend Order2'!$B$342:$B$351</definedName>
    <definedName name="_xlchart.v1.98" hidden="1">'AllSorges 2 NL No Legend Order2'!$B$42:$B$51</definedName>
    <definedName name="_xlchart.v1.99" hidden="1">'AllSorges 2 NL No Legend Order2'!$B$52:$B$61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5" l="1"/>
  <c r="L2" i="2"/>
  <c r="R6" i="5"/>
  <c r="Q6" i="5"/>
  <c r="P6" i="5"/>
  <c r="N6" i="5"/>
  <c r="M6" i="5"/>
  <c r="R2" i="5"/>
  <c r="Q2" i="5"/>
  <c r="P2" i="5"/>
  <c r="P361" i="2"/>
  <c r="P360" i="2"/>
  <c r="P359" i="2"/>
  <c r="P358" i="2"/>
  <c r="P357" i="2"/>
  <c r="P356" i="2"/>
  <c r="P355" i="2"/>
  <c r="P354" i="2"/>
  <c r="P353" i="2"/>
  <c r="P352" i="2"/>
  <c r="O352" i="2"/>
  <c r="N352" i="2"/>
  <c r="M352" i="2"/>
  <c r="L352" i="2"/>
  <c r="O342" i="2"/>
  <c r="N342" i="2"/>
  <c r="M342" i="2"/>
  <c r="L342" i="2"/>
  <c r="O332" i="2"/>
  <c r="N332" i="2"/>
  <c r="M332" i="2"/>
  <c r="L332" i="2"/>
  <c r="O322" i="2"/>
  <c r="N322" i="2"/>
  <c r="M322" i="2"/>
  <c r="L322" i="2"/>
  <c r="O312" i="2"/>
  <c r="N312" i="2"/>
  <c r="M312" i="2"/>
  <c r="L312" i="2"/>
  <c r="O302" i="2"/>
  <c r="N302" i="2"/>
  <c r="M302" i="2"/>
  <c r="L302" i="2"/>
  <c r="P301" i="2"/>
  <c r="P300" i="2"/>
  <c r="P299" i="2"/>
  <c r="P298" i="2"/>
  <c r="P297" i="2"/>
  <c r="P296" i="2"/>
  <c r="P295" i="2"/>
  <c r="P294" i="2"/>
  <c r="P293" i="2"/>
  <c r="P292" i="2"/>
  <c r="O292" i="2"/>
  <c r="N292" i="2"/>
  <c r="M292" i="2"/>
  <c r="L292" i="2"/>
  <c r="O282" i="2"/>
  <c r="N282" i="2"/>
  <c r="M282" i="2"/>
  <c r="L282" i="2"/>
  <c r="O272" i="2"/>
  <c r="N272" i="2"/>
  <c r="M272" i="2"/>
  <c r="L272" i="2"/>
  <c r="O262" i="2"/>
  <c r="N262" i="2"/>
  <c r="M262" i="2"/>
  <c r="L262" i="2"/>
  <c r="O252" i="2"/>
  <c r="N252" i="2"/>
  <c r="M252" i="2"/>
  <c r="L252" i="2"/>
  <c r="O242" i="2"/>
  <c r="N242" i="2"/>
  <c r="M242" i="2"/>
  <c r="L242" i="2"/>
  <c r="O232" i="2"/>
  <c r="N232" i="2"/>
  <c r="M232" i="2"/>
  <c r="L232" i="2"/>
  <c r="O222" i="2"/>
  <c r="N222" i="2"/>
  <c r="M222" i="2"/>
  <c r="L222" i="2"/>
  <c r="O212" i="2"/>
  <c r="N212" i="2"/>
  <c r="M212" i="2"/>
  <c r="L212" i="2"/>
  <c r="O202" i="2"/>
  <c r="N202" i="2"/>
  <c r="M202" i="2"/>
  <c r="L202" i="2"/>
  <c r="O192" i="2"/>
  <c r="N192" i="2"/>
  <c r="M192" i="2"/>
  <c r="L192" i="2"/>
  <c r="O182" i="2"/>
  <c r="N182" i="2"/>
  <c r="M182" i="2"/>
  <c r="L182" i="2"/>
  <c r="O172" i="2"/>
  <c r="N172" i="2"/>
  <c r="M172" i="2"/>
  <c r="L172" i="2"/>
  <c r="O162" i="2"/>
  <c r="N162" i="2"/>
  <c r="M162" i="2"/>
  <c r="L162" i="2"/>
  <c r="O152" i="2"/>
  <c r="N152" i="2"/>
  <c r="M152" i="2"/>
  <c r="L152" i="2"/>
  <c r="O142" i="2"/>
  <c r="N142" i="2"/>
  <c r="M142" i="2"/>
  <c r="L142" i="2"/>
  <c r="O132" i="2"/>
  <c r="N132" i="2"/>
  <c r="M132" i="2"/>
  <c r="L132" i="2"/>
  <c r="O122" i="2"/>
  <c r="N122" i="2"/>
  <c r="M122" i="2"/>
  <c r="L122" i="2"/>
  <c r="O112" i="2"/>
  <c r="N112" i="2"/>
  <c r="M112" i="2"/>
  <c r="L112" i="2"/>
  <c r="O102" i="2"/>
  <c r="N102" i="2"/>
  <c r="M102" i="2"/>
  <c r="L102" i="2"/>
  <c r="O92" i="2"/>
  <c r="N92" i="2"/>
  <c r="M92" i="2"/>
  <c r="L92" i="2"/>
  <c r="O82" i="2"/>
  <c r="N82" i="2"/>
  <c r="M82" i="2"/>
  <c r="L82" i="2"/>
  <c r="O72" i="2"/>
  <c r="N72" i="2"/>
  <c r="M72" i="2"/>
  <c r="L72" i="2"/>
  <c r="O62" i="2"/>
  <c r="N62" i="2"/>
  <c r="M62" i="2"/>
  <c r="L62" i="2"/>
  <c r="O52" i="2"/>
  <c r="N52" i="2"/>
  <c r="M52" i="2"/>
  <c r="L52" i="2"/>
  <c r="O42" i="2"/>
  <c r="N42" i="2"/>
  <c r="M42" i="2"/>
  <c r="L42" i="2"/>
  <c r="O32" i="2"/>
  <c r="N32" i="2"/>
  <c r="M32" i="2"/>
  <c r="L32" i="2"/>
  <c r="O22" i="2"/>
  <c r="N22" i="2"/>
  <c r="M22" i="2"/>
  <c r="L22" i="2"/>
  <c r="O12" i="2"/>
  <c r="N12" i="2"/>
  <c r="M12" i="2"/>
  <c r="L12" i="2"/>
  <c r="O2" i="2"/>
  <c r="N2" i="2"/>
  <c r="M2" i="2"/>
</calcChain>
</file>

<file path=xl/sharedStrings.xml><?xml version="1.0" encoding="utf-8"?>
<sst xmlns="http://schemas.openxmlformats.org/spreadsheetml/2006/main" count="1333" uniqueCount="407">
  <si>
    <t>Sample</t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</si>
  <si>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MS Sans Serif"/>
      </rPr>
      <t>18</t>
    </r>
    <r>
      <rPr>
        <b/>
        <sz val="10"/>
        <rFont val="MS Sans Serif"/>
      </rPr>
      <t>O
VSMOW</t>
    </r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</si>
  <si>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MS Sans Serif"/>
      </rPr>
      <t>2</t>
    </r>
    <r>
      <rPr>
        <b/>
        <sz val="10"/>
        <rFont val="MS Sans Serif"/>
      </rPr>
      <t>H
VSMOW</t>
    </r>
  </si>
  <si>
    <t>Sp</t>
  </si>
  <si>
    <t>Year</t>
  </si>
  <si>
    <t>Cond</t>
  </si>
  <si>
    <t>Order</t>
  </si>
  <si>
    <t>MeanO</t>
  </si>
  <si>
    <t>MeanH</t>
  </si>
  <si>
    <t>Error O</t>
  </si>
  <si>
    <t>Error H</t>
  </si>
  <si>
    <t>S-FO-1</t>
  </si>
  <si>
    <t>Fraxinus</t>
  </si>
  <si>
    <t>Living Dic 20</t>
  </si>
  <si>
    <t>Living Frax</t>
  </si>
  <si>
    <t>S-FO-2</t>
  </si>
  <si>
    <t>Living</t>
  </si>
  <si>
    <t>S-FO-3</t>
  </si>
  <si>
    <t>S-FO-4</t>
  </si>
  <si>
    <t>S-FO-5</t>
  </si>
  <si>
    <t>S-FO-6</t>
  </si>
  <si>
    <t>S-FO-7</t>
  </si>
  <si>
    <t>S-FO-8</t>
  </si>
  <si>
    <t>S-FO-9</t>
  </si>
  <si>
    <t>S-FO-10</t>
  </si>
  <si>
    <t>S-F1-F-1</t>
  </si>
  <si>
    <t>Float</t>
  </si>
  <si>
    <t>In-channel Frax</t>
  </si>
  <si>
    <t>S-F1-F-2</t>
  </si>
  <si>
    <t>S-F1-F-3</t>
  </si>
  <si>
    <t>S-F1-F-4</t>
  </si>
  <si>
    <t>S-F1-F-5</t>
  </si>
  <si>
    <t>S-F1-F-6</t>
  </si>
  <si>
    <t>S-F1-F-7</t>
  </si>
  <si>
    <t>S-F1-F-8</t>
  </si>
  <si>
    <t>S-F1-F-9</t>
  </si>
  <si>
    <t>S-F1-F-10</t>
  </si>
  <si>
    <t>S-F1-E-1</t>
  </si>
  <si>
    <t>Out</t>
  </si>
  <si>
    <t>Floodplain Frax</t>
  </si>
  <si>
    <t>April.21</t>
  </si>
  <si>
    <t>S-F1-E-2</t>
  </si>
  <si>
    <t>S-F1-E-3</t>
  </si>
  <si>
    <t>S-F1-E-4</t>
  </si>
  <si>
    <t>S-F1-E-5</t>
  </si>
  <si>
    <t>S-F1-E-6</t>
  </si>
  <si>
    <t>S-F1-E-7</t>
  </si>
  <si>
    <t>S-F1-E-8</t>
  </si>
  <si>
    <t>S-F1-E-9</t>
  </si>
  <si>
    <t>S-F1-E-10</t>
  </si>
  <si>
    <t>S-F1-S-1</t>
  </si>
  <si>
    <t>Sub</t>
  </si>
  <si>
    <t>Submerged Frax</t>
  </si>
  <si>
    <t>S-F1-S-2</t>
  </si>
  <si>
    <t>S-F1-S-3</t>
  </si>
  <si>
    <t>S-F1-S-4</t>
  </si>
  <si>
    <t>S-F1-S-5</t>
  </si>
  <si>
    <t>xxxx</t>
  </si>
  <si>
    <t>S-F1-S-6</t>
  </si>
  <si>
    <t>S-F1-S-7</t>
  </si>
  <si>
    <t>S-F1-S-8</t>
  </si>
  <si>
    <t>S-F1-S-9</t>
  </si>
  <si>
    <t>S-F1-S-10</t>
  </si>
  <si>
    <t>S-AO-1</t>
  </si>
  <si>
    <t>Alnus</t>
  </si>
  <si>
    <t>Living Dic20</t>
  </si>
  <si>
    <t>Living Alnus</t>
  </si>
  <si>
    <t>S-AO-2</t>
  </si>
  <si>
    <t>S-AO-3</t>
  </si>
  <si>
    <t>S-AO-4</t>
  </si>
  <si>
    <t>S-AO-5</t>
  </si>
  <si>
    <t>S-AO-6</t>
  </si>
  <si>
    <t>S-AO-7</t>
  </si>
  <si>
    <t>S-AO-8</t>
  </si>
  <si>
    <t>S-AO-9</t>
  </si>
  <si>
    <t>S-AO-10</t>
  </si>
  <si>
    <t>S-A1-F-1</t>
  </si>
  <si>
    <t>In-channel Alnus</t>
  </si>
  <si>
    <t>S-A1-F-2</t>
  </si>
  <si>
    <t>S-A1-F-3</t>
  </si>
  <si>
    <t>S-A1-F-4</t>
  </si>
  <si>
    <t>S-A1-F-5</t>
  </si>
  <si>
    <t>S-A1-F-6</t>
  </si>
  <si>
    <t>S-A1-F-7</t>
  </si>
  <si>
    <t>S-A1-F-8</t>
  </si>
  <si>
    <t>S-A1-F-9</t>
  </si>
  <si>
    <t>S-A1-F-10</t>
  </si>
  <si>
    <t>S-A1-E-1</t>
  </si>
  <si>
    <t>Floodplain Alnus</t>
  </si>
  <si>
    <t>S-A1-E-2</t>
  </si>
  <si>
    <t>S-A1-E-3</t>
  </si>
  <si>
    <t>S-A1-E-4</t>
  </si>
  <si>
    <t>S-A1-E-5</t>
  </si>
  <si>
    <t>S-A1-E-6</t>
  </si>
  <si>
    <t>S-A1-E-7</t>
  </si>
  <si>
    <t>S-A1-E-8</t>
  </si>
  <si>
    <t>S-A1-E-9</t>
  </si>
  <si>
    <t>S-A1-E-10</t>
  </si>
  <si>
    <t>S-A1-S-1</t>
  </si>
  <si>
    <t>Submerged Alnus</t>
  </si>
  <si>
    <t>S-A1-S-2</t>
  </si>
  <si>
    <t>S-A1-S-3</t>
  </si>
  <si>
    <t>S-A1-S-4</t>
  </si>
  <si>
    <t>S-A1-S-5</t>
  </si>
  <si>
    <t>S-A1-S-6</t>
  </si>
  <si>
    <t>S-A1-S-7</t>
  </si>
  <si>
    <t>S-A1-S-8</t>
  </si>
  <si>
    <t>S-A1-S-9</t>
  </si>
  <si>
    <t>S-A1-S-10</t>
  </si>
  <si>
    <t>Feb.24</t>
  </si>
  <si>
    <t>S-Sept21-F.F-1</t>
  </si>
  <si>
    <t>Sept.21</t>
  </si>
  <si>
    <t>S-Sept21-F.F-2</t>
  </si>
  <si>
    <t>S-Sept21-F.F-3</t>
  </si>
  <si>
    <t>S-Sept21-F.F-4</t>
  </si>
  <si>
    <t>S-Sept21-F.F-5</t>
  </si>
  <si>
    <t>S-Sept21-F.F-6</t>
  </si>
  <si>
    <t>S-Sept21-F.F-7</t>
  </si>
  <si>
    <t>S-Sept21-F.F-8</t>
  </si>
  <si>
    <t>S-Sept21-F.F-9</t>
  </si>
  <si>
    <t>S-Sept21-F.F-10</t>
  </si>
  <si>
    <t>S-Sept21-F.O-1</t>
  </si>
  <si>
    <t>S-Sept21-F.O-2</t>
  </si>
  <si>
    <t>S-Sept21-F.O-3</t>
  </si>
  <si>
    <t>S-Sept21-F.O-4</t>
  </si>
  <si>
    <t>S-Sept21-F.O-5</t>
  </si>
  <si>
    <t>S-Sept21-F.O-6</t>
  </si>
  <si>
    <t>S-Sept21-F.O-7</t>
  </si>
  <si>
    <t>S-Sept21-F.O-8</t>
  </si>
  <si>
    <t>S-Sept21-F.O-9</t>
  </si>
  <si>
    <t>S-Sept21-F.O-10</t>
  </si>
  <si>
    <t>S-Dic21-F.E-1</t>
  </si>
  <si>
    <t>Dic.21</t>
  </si>
  <si>
    <t>S-Dic21-F.E-2</t>
  </si>
  <si>
    <t>S-Dic21-F.E-3</t>
  </si>
  <si>
    <t>S-Dic21-F.E-4</t>
  </si>
  <si>
    <t>S-Dic21-F.E-5</t>
  </si>
  <si>
    <t>S-Dic21-F.E-6</t>
  </si>
  <si>
    <t>S-Dic21-F.E-7</t>
  </si>
  <si>
    <t>S-Dic21-F.E-8</t>
  </si>
  <si>
    <t>S-Dic21-F.E-9</t>
  </si>
  <si>
    <t>S-Dic21-F.E-10</t>
  </si>
  <si>
    <t>SDic21-F.S-1</t>
  </si>
  <si>
    <t>SDic21-F.S-2</t>
  </si>
  <si>
    <t>SDic21-F.S-3</t>
  </si>
  <si>
    <t>SDic21-F.S-4</t>
  </si>
  <si>
    <t>SDic21-F.S-5</t>
  </si>
  <si>
    <t>SDic21-F.S-6</t>
  </si>
  <si>
    <t>SDic21-F.S-7</t>
  </si>
  <si>
    <t>SDic21-F.S-8</t>
  </si>
  <si>
    <t>SDic21-F.S-9</t>
  </si>
  <si>
    <t>SDic21-F.S-10</t>
  </si>
  <si>
    <t>S-Sept21-A.F-1</t>
  </si>
  <si>
    <t>S-Sept21-A.F-2</t>
  </si>
  <si>
    <t>S-Sept21-A.F-3</t>
  </si>
  <si>
    <t>S-Sept21-A.F-4</t>
  </si>
  <si>
    <t>S-Sept21-A.F-5</t>
  </si>
  <si>
    <t>S-Sept21-A.F-6</t>
  </si>
  <si>
    <t>S-Sept21-A.F-7</t>
  </si>
  <si>
    <t>S-Sept21-A.F-8</t>
  </si>
  <si>
    <t>S-Sept21-A.F-9</t>
  </si>
  <si>
    <t>S-Sept21-A.F-10</t>
  </si>
  <si>
    <t>S-Sept21-A.O-1</t>
  </si>
  <si>
    <t>S-Sept21-A.O-2</t>
  </si>
  <si>
    <t>S-Sept21-A.O-3</t>
  </si>
  <si>
    <t>S-Sept21-A.O-4</t>
  </si>
  <si>
    <t>S-Sept21-A.O-5</t>
  </si>
  <si>
    <t>S-Sept21-A.O-6</t>
  </si>
  <si>
    <t>S-Sept21-A.O-7</t>
  </si>
  <si>
    <t>S-Sept21-A.O-8</t>
  </si>
  <si>
    <t>S-Sept21-A.O-9</t>
  </si>
  <si>
    <t>S-Sept21-A.O-10</t>
  </si>
  <si>
    <t>S-Dic21-F.F-1</t>
  </si>
  <si>
    <t>S-Dic21-F.F-2</t>
  </si>
  <si>
    <t>S-Dic21-F.F-3</t>
  </si>
  <si>
    <t>S-Dic21-F.F-4</t>
  </si>
  <si>
    <t>S-Dic21-F.F-5</t>
  </si>
  <si>
    <t>S-Dic21-F.F-6</t>
  </si>
  <si>
    <t>S-Dic21-F.F-7</t>
  </si>
  <si>
    <t>S-Dic21-F.F-8</t>
  </si>
  <si>
    <t>S-Dic21-F.F-9</t>
  </si>
  <si>
    <t>S-Dic21-F.F-10</t>
  </si>
  <si>
    <t>S-May22-F.F-1</t>
  </si>
  <si>
    <t>May.22</t>
  </si>
  <si>
    <t>S-May22-F.F-2</t>
  </si>
  <si>
    <t>S-May22-F.F-3</t>
  </si>
  <si>
    <t>S-May22-F.F-4</t>
  </si>
  <si>
    <t>S-May22-F.F-5</t>
  </si>
  <si>
    <t>S-May22-F.F-6</t>
  </si>
  <si>
    <t>S-May22-F.F-7</t>
  </si>
  <si>
    <t>S-May22-F.F-8</t>
  </si>
  <si>
    <t>S-May22-F.F-9</t>
  </si>
  <si>
    <t>S-May22-F.F-10</t>
  </si>
  <si>
    <t>S-May22-F.E-1</t>
  </si>
  <si>
    <t>S-May22-F.E-2</t>
  </si>
  <si>
    <t>S-May22-F.E-3</t>
  </si>
  <si>
    <t>S-May22-F.E-4</t>
  </si>
  <si>
    <t>S-May22-F.E-5</t>
  </si>
  <si>
    <t>S-May22-F.E-6</t>
  </si>
  <si>
    <t>S-May22-F.E-7</t>
  </si>
  <si>
    <t>S-May22-F.E-8</t>
  </si>
  <si>
    <t>S-May22-F.E-9</t>
  </si>
  <si>
    <t>S-May22-F.E-10</t>
  </si>
  <si>
    <t>S-Dic21-A.S-1</t>
  </si>
  <si>
    <t>S-Dic21-A.S-2</t>
  </si>
  <si>
    <t>S-Dic21-A.S-3</t>
  </si>
  <si>
    <t>S-Dic21-A.S-4</t>
  </si>
  <si>
    <t>S-Dic21-A.S-5</t>
  </si>
  <si>
    <t>S-Dic21-A.S-6</t>
  </si>
  <si>
    <t>S-Dic21-A.S-7</t>
  </si>
  <si>
    <t>S-Dic21-A.S-8</t>
  </si>
  <si>
    <t>S-Dic21-A.S-9</t>
  </si>
  <si>
    <t>S-Dic21-A.S-10</t>
  </si>
  <si>
    <t>S-Dic21-A.F-1</t>
  </si>
  <si>
    <t>S-Dic21-A.F-2</t>
  </si>
  <si>
    <t>S-Dic21-A.F-3</t>
  </si>
  <si>
    <t>S-Dic21-A.F-4</t>
  </si>
  <si>
    <t>S-Dic21-A.F-5</t>
  </si>
  <si>
    <t>S-Dic21-A.F-6</t>
  </si>
  <si>
    <t>S-Dic21-A.F-7</t>
  </si>
  <si>
    <t>S-Dic21-A.F-8</t>
  </si>
  <si>
    <t>S-Dic21-A.F-9</t>
  </si>
  <si>
    <t>S-Dic21-A.F-10</t>
  </si>
  <si>
    <t>S-May22-A.F-1</t>
  </si>
  <si>
    <t>S-May22-A.F-2</t>
  </si>
  <si>
    <t>S-May22-A.F-3</t>
  </si>
  <si>
    <t>S-May22-A.F-4</t>
  </si>
  <si>
    <t>S-May22-A.F-5</t>
  </si>
  <si>
    <t>S-May22-A.F-6</t>
  </si>
  <si>
    <t>S-May22-A.F-7</t>
  </si>
  <si>
    <t>S-May22-A.F-8</t>
  </si>
  <si>
    <t>S-May22-A.F-9</t>
  </si>
  <si>
    <t>S-May22-A.F-10</t>
  </si>
  <si>
    <t>S-May22-A.O-1</t>
  </si>
  <si>
    <t>S-May22-A.O-2</t>
  </si>
  <si>
    <t>S-May22-A.O-3</t>
  </si>
  <si>
    <t>S-May22-A.O-4</t>
  </si>
  <si>
    <t>S-Dic21-A.O-5</t>
  </si>
  <si>
    <t>S-Dic21-A.O-6</t>
  </si>
  <si>
    <t>S-Dic21-A.O-7</t>
  </si>
  <si>
    <t>S-Dic21-A.O-8</t>
  </si>
  <si>
    <t>S-Dic21-A.O-9</t>
  </si>
  <si>
    <t>S-Dic21-A.O-10</t>
  </si>
  <si>
    <t>S-Dic22-A-O-1</t>
  </si>
  <si>
    <t>Nov.22</t>
  </si>
  <si>
    <t>S-Dic22-A-O-2</t>
  </si>
  <si>
    <t>S-Dic22-A-O-3</t>
  </si>
  <si>
    <t>S-Dic22-A-O-4</t>
  </si>
  <si>
    <t>S-Dic22-A-O-5</t>
  </si>
  <si>
    <t>S-Dic22-A-O-6</t>
  </si>
  <si>
    <t>S-Dic22-A-O-7</t>
  </si>
  <si>
    <t>S-Dic22-A-O-8</t>
  </si>
  <si>
    <t>S-Dic22-A-O-9</t>
  </si>
  <si>
    <t>S-Dic22-A-O-10</t>
  </si>
  <si>
    <t>S-Dic22-A-F-1</t>
  </si>
  <si>
    <t>S-Dic22-A-F-2</t>
  </si>
  <si>
    <t>S-Dic22-A-F-3</t>
  </si>
  <si>
    <t>S-Dic22-A-F-4</t>
  </si>
  <si>
    <t>S-Dic22-A-F-5</t>
  </si>
  <si>
    <t>S-Dic22-A-F-6</t>
  </si>
  <si>
    <t>S-Dic22-A-F-7</t>
  </si>
  <si>
    <t>S-Dic22-A-F-8</t>
  </si>
  <si>
    <t>S-Dic22-A-F-9</t>
  </si>
  <si>
    <t>S-Dic22-A-F-10</t>
  </si>
  <si>
    <t>S-Dic22-F-O-1</t>
  </si>
  <si>
    <t>S-Dic22-F-O-2</t>
  </si>
  <si>
    <t>S-Dic22-F-O-3</t>
  </si>
  <si>
    <t>S-Dic22-F-O-4</t>
  </si>
  <si>
    <t>S-Dic22-F-O-5</t>
  </si>
  <si>
    <t>S-Dic22-F-O-6</t>
  </si>
  <si>
    <t>S-Dic22-F-O-7</t>
  </si>
  <si>
    <t>S-Dic22-F-O-8</t>
  </si>
  <si>
    <t>S-Dic22-F-O-9</t>
  </si>
  <si>
    <t>S-Dic22-F-O-10</t>
  </si>
  <si>
    <t>S-Dic22-F-F-1</t>
  </si>
  <si>
    <t>S-Dic22-F-F-2</t>
  </si>
  <si>
    <t>S-Dic22-F-F-3</t>
  </si>
  <si>
    <t>S-Dic22-F-F-4</t>
  </si>
  <si>
    <t>S-Dic22-F-F-5</t>
  </si>
  <si>
    <t>S-Dic22-F-F-6</t>
  </si>
  <si>
    <t>S-Dic22-F-F-7</t>
  </si>
  <si>
    <t>S-Dic22-F-F-8</t>
  </si>
  <si>
    <t>S-Dic22-F-F-9</t>
  </si>
  <si>
    <t>S-Dic22-F-F-10</t>
  </si>
  <si>
    <t>S-Aut23-A-O-1</t>
  </si>
  <si>
    <t>May.23</t>
  </si>
  <si>
    <t>S-Aut23-A-O-2</t>
  </si>
  <si>
    <t>S-Aut23-A-O-3</t>
  </si>
  <si>
    <t>S-Aut23-A-O-4</t>
  </si>
  <si>
    <t>S-Aut23-A-O-5</t>
  </si>
  <si>
    <t>S-Aut23-A-O-6</t>
  </si>
  <si>
    <t>S-Aut23-A-O-7</t>
  </si>
  <si>
    <t>S-Aut23-A-O-8</t>
  </si>
  <si>
    <t>S-Aut23-A-O-9</t>
  </si>
  <si>
    <t>S-Aut23-A-O-10</t>
  </si>
  <si>
    <t>S-Aut23-A-F-1</t>
  </si>
  <si>
    <t>S-Aut23-A-F-2</t>
  </si>
  <si>
    <t>S-Aut23-A-F-3</t>
  </si>
  <si>
    <t>S-Aut23-A-F-4</t>
  </si>
  <si>
    <t>S-Aut23-A-F-5</t>
  </si>
  <si>
    <t>S-Aut23-A-F-6</t>
  </si>
  <si>
    <t>S-Aut23-A-F-7</t>
  </si>
  <si>
    <t>S-Aut23-A-F-8</t>
  </si>
  <si>
    <t>S-Aut23-A-F-9</t>
  </si>
  <si>
    <t>S-Aut23-A-F-10</t>
  </si>
  <si>
    <t>S-Aut23-F-O-1</t>
  </si>
  <si>
    <t>S-Aut23-F-O-2</t>
  </si>
  <si>
    <t>S-Aut23-F-O-3</t>
  </si>
  <si>
    <t>S-Aut23-F-O-4</t>
  </si>
  <si>
    <t>S-Aut23-F-O-5</t>
  </si>
  <si>
    <t>S-Aut23-F-O-6</t>
  </si>
  <si>
    <t>S-Aut23-F-O-7</t>
  </si>
  <si>
    <t>S-Aut23-F-O-8</t>
  </si>
  <si>
    <t>S-Aut23-F-O-9</t>
  </si>
  <si>
    <t>S-Aut23-F-O-10</t>
  </si>
  <si>
    <t>S-Aut23-F-F-1</t>
  </si>
  <si>
    <t>S-Aut23-F-F-2</t>
  </si>
  <si>
    <t>S-Aut23-F-F-3</t>
  </si>
  <si>
    <t>S-Aut23-F-F-4</t>
  </si>
  <si>
    <t>S-Aut23-F-F-5</t>
  </si>
  <si>
    <t>S-Aut23-F-F-6</t>
  </si>
  <si>
    <t>S-Aut23-F-F-7</t>
  </si>
  <si>
    <t>S-Aut23-F-F-8</t>
  </si>
  <si>
    <t>S-Aut23-F-F-9</t>
  </si>
  <si>
    <t>S-Aut23-F-F-10</t>
  </si>
  <si>
    <t>S-Dic23-A-O-1</t>
  </si>
  <si>
    <t>Oct.23</t>
  </si>
  <si>
    <t>S-Dic23-A-O-2</t>
  </si>
  <si>
    <t>S-Dic23-A-O-3</t>
  </si>
  <si>
    <t>S-Dic23-A-O-4</t>
  </si>
  <si>
    <t>S-Dic23-A-O-5</t>
  </si>
  <si>
    <t>S-Dic23-A-O-6</t>
  </si>
  <si>
    <t>S-Dic23-A-O-7</t>
  </si>
  <si>
    <t>S-Dic23-A-O-8</t>
  </si>
  <si>
    <t>S-Dic23-A-O-9</t>
  </si>
  <si>
    <t>S-Dic23-A-O-10</t>
  </si>
  <si>
    <t>S-Dic23-A-F-1</t>
  </si>
  <si>
    <t>S-Dic23-A-F-2</t>
  </si>
  <si>
    <t>S-Dic23-A-F-3</t>
  </si>
  <si>
    <t>S-Dic23-A-F-4</t>
  </si>
  <si>
    <t>S-Dic23-A-F-5</t>
  </si>
  <si>
    <t>S-Dic23-A-F-6</t>
  </si>
  <si>
    <t>S-Dic23-A-F-7</t>
  </si>
  <si>
    <t>S-Dic23-A-F-8</t>
  </si>
  <si>
    <t>S-Dic23-A-F-9</t>
  </si>
  <si>
    <t>S-Dic23-A-F-10</t>
  </si>
  <si>
    <t>S-Dic23-F-O-1</t>
  </si>
  <si>
    <t>S-Dic23-F-O-2</t>
  </si>
  <si>
    <t>S-Dic23-F-O-3</t>
  </si>
  <si>
    <t>S-Dic23-F-O-4</t>
  </si>
  <si>
    <t>S-Dic23-F-O-5</t>
  </si>
  <si>
    <t>S-Dic23-F-O-6</t>
  </si>
  <si>
    <t>S-Dic23-F-O-7</t>
  </si>
  <si>
    <t>S-Dic23-F-O-8</t>
  </si>
  <si>
    <t>S-Dic23-F-O-9</t>
  </si>
  <si>
    <t>S-Dic23-F-O-10</t>
  </si>
  <si>
    <t>S-Dic23-F-F-1</t>
  </si>
  <si>
    <t>S-Dic23-F-F-2</t>
  </si>
  <si>
    <t>S-Dic23-F-F-3</t>
  </si>
  <si>
    <t>S-Dic23-F-F-4</t>
  </si>
  <si>
    <t>S-Dic23-F-F-5</t>
  </si>
  <si>
    <t>S-Dic23-F-F-6</t>
  </si>
  <si>
    <t>S-Dic23-F-F-7</t>
  </si>
  <si>
    <t>S-Dic23-F-F-8</t>
  </si>
  <si>
    <t>S-Dic23-F-F-9</t>
  </si>
  <si>
    <t>S-Dic23-F-F-10</t>
  </si>
  <si>
    <t>S-Feb24-A-O-1</t>
  </si>
  <si>
    <t>S-Feb24-A-O-2</t>
  </si>
  <si>
    <t>S-Feb24-A-O-3</t>
  </si>
  <si>
    <t>S-Feb24-A-O-4</t>
  </si>
  <si>
    <t>S-Feb24-A-O-5</t>
  </si>
  <si>
    <t>S-Feb24-A-O-6</t>
  </si>
  <si>
    <t>S-Feb24-A-O-7</t>
  </si>
  <si>
    <t>S-Feb24-A-O-8</t>
  </si>
  <si>
    <t>S-Feb24-A-O-9</t>
  </si>
  <si>
    <t>S-Feb24-A-O-10</t>
  </si>
  <si>
    <t>S-Feb24-A-F-1</t>
  </si>
  <si>
    <t>S-Feb24-A-F-2</t>
  </si>
  <si>
    <t>S-Feb24-A-F-3</t>
  </si>
  <si>
    <t>S-Feb24-A-F-4</t>
  </si>
  <si>
    <t>S-Feb24-A-F-5</t>
  </si>
  <si>
    <t>S-Feb24-A-F-6</t>
  </si>
  <si>
    <t>S-Feb24-A-F-7</t>
  </si>
  <si>
    <t>S-Feb24-A-F-8</t>
  </si>
  <si>
    <t>S-Feb24-A-F-9</t>
  </si>
  <si>
    <t>S-Feb24-A-F-10</t>
  </si>
  <si>
    <t>S-Feb24-F-O-1</t>
  </si>
  <si>
    <t>S-Feb24-F-O-2</t>
  </si>
  <si>
    <t>S-Feb24-F-O-3</t>
  </si>
  <si>
    <t>S-Feb24-F-O-4</t>
  </si>
  <si>
    <t>S-Feb24-F-O-5</t>
  </si>
  <si>
    <t>S-Feb24-F-O-6</t>
  </si>
  <si>
    <t>S-Feb24-F-O-7</t>
  </si>
  <si>
    <t>S-Feb24-F-O-8</t>
  </si>
  <si>
    <t>S-Feb24-F-O-9</t>
  </si>
  <si>
    <t>S-Feb24-F-O-10</t>
  </si>
  <si>
    <t>TotalErrorO</t>
  </si>
  <si>
    <t>TotalErrorH</t>
  </si>
  <si>
    <t>MaxO</t>
  </si>
  <si>
    <t>MinO</t>
  </si>
  <si>
    <t>MaxH</t>
  </si>
  <si>
    <t>MinH</t>
  </si>
  <si>
    <t>Floating (instream)</t>
  </si>
  <si>
    <t>Floodplain (outside)</t>
  </si>
  <si>
    <t>D</t>
  </si>
  <si>
    <t>O</t>
  </si>
  <si>
    <t>Conditions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</si>
</sst>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Aptos Narrow"/>
      <family val="2"/>
      <scheme val="minor"/>
    </font>
    <font>
      <sz val="10"/>
      <name val="MS Sans Serif"/>
    </font>
    <font>
      <sz val="12"/>
      <name val="Arial"/>
      <family val="2"/>
    </font>
    <font>
      <b/>
      <sz val="10"/>
      <name val="MS Sans Serif"/>
      <charset val="2"/>
    </font>
    <font>
      <b/>
      <sz val="10"/>
      <name val="Symbol"/>
      <family val="1"/>
      <charset val="2"/>
    </font>
    <font>
      <b/>
      <vertAlign val="superscript"/>
      <sz val="10"/>
      <name val="MS Sans Serif"/>
    </font>
    <font>
      <b/>
      <sz val="10"/>
      <name val="MS Sans Serif"/>
    </font>
    <font>
      <b/>
      <sz val="10"/>
      <color theme="1"/>
      <name val="MS Sans Serif"/>
    </font>
    <font>
      <sz val="1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name val="Calibri"/>
      <family val="2"/>
    </font>
    <font>
      <b/>
      <sz val="10"/>
      <color rgb="FF0000FF"/>
      <name val="Calibri"/>
      <family val="2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quotePrefix="1" applyFont="1"/>
    <xf numFmtId="0" fontId="3" fillId="0" borderId="0" xfId="1" applyFont="1" applyAlignment="1">
      <alignment horizontal="center" wrapText="1"/>
    </xf>
    <xf numFmtId="0" fontId="1" fillId="0" borderId="0" xfId="1"/>
    <xf numFmtId="0" fontId="1" fillId="0" borderId="0" xfId="1" quotePrefix="1"/>
    <xf numFmtId="164" fontId="6" fillId="0" borderId="0" xfId="1" quotePrefix="1" applyNumberFormat="1" applyFont="1" applyAlignment="1">
      <alignment horizontal="center"/>
    </xf>
    <xf numFmtId="0" fontId="6" fillId="0" borderId="0" xfId="1" quotePrefix="1" applyFont="1" applyAlignment="1">
      <alignment horizontal="center"/>
    </xf>
    <xf numFmtId="1" fontId="6" fillId="0" borderId="0" xfId="1" quotePrefix="1" applyNumberFormat="1" applyFont="1" applyAlignment="1">
      <alignment horizontal="center"/>
    </xf>
    <xf numFmtId="164" fontId="1" fillId="0" borderId="0" xfId="1" applyNumberFormat="1"/>
    <xf numFmtId="164" fontId="7" fillId="0" borderId="0" xfId="1" quotePrefix="1" applyNumberFormat="1" applyFont="1" applyAlignment="1">
      <alignment horizontal="center"/>
    </xf>
    <xf numFmtId="0" fontId="1" fillId="2" borderId="0" xfId="1" applyFill="1"/>
    <xf numFmtId="1" fontId="7" fillId="0" borderId="0" xfId="1" quotePrefix="1" applyNumberFormat="1" applyFont="1" applyAlignment="1">
      <alignment horizontal="center"/>
    </xf>
    <xf numFmtId="164" fontId="1" fillId="2" borderId="0" xfId="1" applyNumberFormat="1" applyFill="1"/>
    <xf numFmtId="0" fontId="1" fillId="2" borderId="0" xfId="1" quotePrefix="1" applyFill="1"/>
    <xf numFmtId="164" fontId="7" fillId="2" borderId="0" xfId="1" quotePrefix="1" applyNumberFormat="1" applyFont="1" applyFill="1" applyAlignment="1">
      <alignment horizontal="center"/>
    </xf>
    <xf numFmtId="164" fontId="6" fillId="2" borderId="0" xfId="1" quotePrefix="1" applyNumberFormat="1" applyFont="1" applyFill="1" applyAlignment="1">
      <alignment horizontal="center"/>
    </xf>
    <xf numFmtId="1" fontId="7" fillId="2" borderId="0" xfId="1" quotePrefix="1" applyNumberFormat="1" applyFont="1" applyFill="1" applyAlignment="1">
      <alignment horizontal="center"/>
    </xf>
    <xf numFmtId="16" fontId="1" fillId="2" borderId="0" xfId="1" applyNumberFormat="1" applyFill="1"/>
    <xf numFmtId="16" fontId="1" fillId="0" borderId="0" xfId="1" applyNumberFormat="1"/>
    <xf numFmtId="0" fontId="8" fillId="0" borderId="0" xfId="1" quotePrefix="1" applyFont="1"/>
    <xf numFmtId="164" fontId="9" fillId="0" borderId="0" xfId="1" applyNumberFormat="1" applyFont="1"/>
    <xf numFmtId="1" fontId="9" fillId="0" borderId="0" xfId="1" applyNumberFormat="1" applyFont="1"/>
    <xf numFmtId="0" fontId="8" fillId="3" borderId="0" xfId="1" quotePrefix="1" applyFont="1" applyFill="1"/>
    <xf numFmtId="164" fontId="9" fillId="3" borderId="0" xfId="1" applyNumberFormat="1" applyFont="1" applyFill="1"/>
    <xf numFmtId="1" fontId="9" fillId="3" borderId="0" xfId="1" applyNumberFormat="1" applyFont="1" applyFill="1"/>
    <xf numFmtId="0" fontId="8" fillId="2" borderId="0" xfId="1" quotePrefix="1" applyFont="1" applyFill="1"/>
    <xf numFmtId="164" fontId="9" fillId="2" borderId="0" xfId="1" applyNumberFormat="1" applyFont="1" applyFill="1"/>
    <xf numFmtId="1" fontId="9" fillId="2" borderId="0" xfId="1" applyNumberFormat="1" applyFont="1" applyFill="1"/>
    <xf numFmtId="0" fontId="8" fillId="4" borderId="0" xfId="1" quotePrefix="1" applyFont="1" applyFill="1"/>
    <xf numFmtId="164" fontId="9" fillId="4" borderId="0" xfId="1" applyNumberFormat="1" applyFont="1" applyFill="1"/>
    <xf numFmtId="1" fontId="9" fillId="4" borderId="0" xfId="1" applyNumberFormat="1" applyFont="1" applyFill="1"/>
    <xf numFmtId="0" fontId="1" fillId="4" borderId="0" xfId="1" applyFill="1"/>
    <xf numFmtId="0" fontId="10" fillId="5" borderId="0" xfId="1" quotePrefix="1" applyFont="1" applyFill="1"/>
    <xf numFmtId="164" fontId="11" fillId="5" borderId="0" xfId="1" applyNumberFormat="1" applyFont="1" applyFill="1" applyAlignment="1">
      <alignment horizontal="center"/>
    </xf>
    <xf numFmtId="164" fontId="11" fillId="5" borderId="0" xfId="1" quotePrefix="1" applyNumberFormat="1" applyFont="1" applyFill="1" applyAlignment="1">
      <alignment horizontal="center"/>
    </xf>
    <xf numFmtId="164" fontId="9" fillId="5" borderId="0" xfId="1" applyNumberFormat="1" applyFont="1" applyFill="1"/>
    <xf numFmtId="0" fontId="1" fillId="5" borderId="0" xfId="1" applyFill="1"/>
    <xf numFmtId="0" fontId="10" fillId="0" borderId="0" xfId="1" quotePrefix="1" applyFont="1"/>
    <xf numFmtId="164" fontId="11" fillId="0" borderId="0" xfId="1" applyNumberFormat="1" applyFont="1" applyAlignment="1">
      <alignment horizontal="center"/>
    </xf>
    <xf numFmtId="164" fontId="11" fillId="0" borderId="0" xfId="1" quotePrefix="1" applyNumberFormat="1" applyFont="1" applyAlignment="1">
      <alignment horizontal="center"/>
    </xf>
    <xf numFmtId="0" fontId="10" fillId="4" borderId="0" xfId="1" quotePrefix="1" applyFont="1" applyFill="1"/>
    <xf numFmtId="164" fontId="11" fillId="4" borderId="0" xfId="1" applyNumberFormat="1" applyFont="1" applyFill="1" applyAlignment="1">
      <alignment horizontal="center"/>
    </xf>
    <xf numFmtId="164" fontId="11" fillId="4" borderId="0" xfId="1" quotePrefix="1" applyNumberFormat="1" applyFont="1" applyFill="1" applyAlignment="1">
      <alignment horizontal="center"/>
    </xf>
    <xf numFmtId="0" fontId="12" fillId="4" borderId="0" xfId="1" quotePrefix="1" applyFont="1" applyFill="1"/>
    <xf numFmtId="16" fontId="1" fillId="4" borderId="0" xfId="1" applyNumberFormat="1" applyFill="1"/>
    <xf numFmtId="164" fontId="6" fillId="0" borderId="0" xfId="0" quotePrefix="1" applyNumberFormat="1" applyFont="1" applyAlignment="1">
      <alignment horizontal="center"/>
    </xf>
    <xf numFmtId="164" fontId="6" fillId="2" borderId="0" xfId="0" quotePrefix="1" applyNumberFormat="1" applyFont="1" applyFill="1" applyAlignment="1">
      <alignment horizontal="center"/>
    </xf>
    <xf numFmtId="164" fontId="9" fillId="0" borderId="0" xfId="0" applyNumberFormat="1" applyFont="1"/>
    <xf numFmtId="164" fontId="9" fillId="3" borderId="0" xfId="0" applyNumberFormat="1" applyFont="1" applyFill="1"/>
    <xf numFmtId="164" fontId="9" fillId="2" borderId="0" xfId="0" applyNumberFormat="1" applyFont="1" applyFill="1"/>
    <xf numFmtId="164" fontId="9" fillId="4" borderId="0" xfId="0" applyNumberFormat="1" applyFont="1" applyFill="1"/>
    <xf numFmtId="164" fontId="11" fillId="5" borderId="0" xfId="0" quotePrefix="1" applyNumberFormat="1" applyFont="1" applyFill="1" applyAlignment="1">
      <alignment horizontal="center"/>
    </xf>
    <xf numFmtId="164" fontId="11" fillId="0" borderId="0" xfId="0" quotePrefix="1" applyNumberFormat="1" applyFont="1" applyAlignment="1">
      <alignment horizontal="center"/>
    </xf>
    <xf numFmtId="164" fontId="11" fillId="4" borderId="0" xfId="0" quotePrefix="1" applyNumberFormat="1" applyFont="1" applyFill="1" applyAlignment="1">
      <alignment horizontal="center"/>
    </xf>
    <xf numFmtId="164" fontId="7" fillId="0" borderId="0" xfId="0" quotePrefix="1" applyNumberFormat="1" applyFont="1" applyAlignment="1">
      <alignment horizontal="center"/>
    </xf>
    <xf numFmtId="164" fontId="7" fillId="2" borderId="0" xfId="0" quotePrefix="1" applyNumberFormat="1" applyFont="1" applyFill="1" applyAlignment="1">
      <alignment horizontal="center"/>
    </xf>
    <xf numFmtId="164" fontId="11" fillId="5" borderId="0" xfId="0" applyNumberFormat="1" applyFon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164" fontId="11" fillId="4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5C5F278F-C6FF-47F9-8735-BE57EB93D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Alder</a:t>
            </a:r>
          </a:p>
        </c:rich>
      </c:tx>
      <c:layout>
        <c:manualLayout>
          <c:xMode val="edge"/>
          <c:yMode val="edge"/>
          <c:x val="0.48828198461173661"/>
          <c:y val="2.9770965748445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54704376906158"/>
          <c:y val="9.9950737667763037E-2"/>
          <c:w val="0.80912707173285592"/>
          <c:h val="0.7227663576356684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AllSorgesMean!$U$2</c:f>
              <c:strCache>
                <c:ptCount val="1"/>
                <c:pt idx="0">
                  <c:v>Floating (instream)</c:v>
                </c:pt>
              </c:strCache>
            </c:strRef>
          </c:tx>
          <c:spPr>
            <a:ln w="31750" cap="rnd">
              <a:solidFill>
                <a:srgbClr val="C070D6">
                  <a:alpha val="76000"/>
                </a:srgbClr>
              </a:solidFill>
              <a:prstDash val="dash"/>
              <a:round/>
            </a:ln>
            <a:effectLst/>
          </c:spPr>
          <c:marker>
            <c:symbol val="triangle"/>
            <c:size val="24"/>
            <c:spPr>
              <a:solidFill>
                <a:srgbClr val="C070D6"/>
              </a:solidFill>
              <a:ln w="6350">
                <a:solidFill>
                  <a:srgbClr val="C070D6">
                    <a:alpha val="76000"/>
                  </a:srgb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([1]AllSorgesMean!$K$6,[1]AllSorgesMean!$K$7,[1]AllSorgesMean!$K$14,[1]AllSorgesMean!$K$20,[1]AllSorgesMean!$K$21,[1]AllSorgesMean!$K$24,[1]AllSorgesMean!$K$28,[1]AllSorgesMean!$K$32,[1]AllSorgesMean!$K$36)</c:f>
                <c:numCache>
                  <c:formatCode>General</c:formatCode>
                  <c:ptCount val="9"/>
                  <c:pt idx="0">
                    <c:v>0.22053446780150981</c:v>
                  </c:pt>
                  <c:pt idx="1">
                    <c:v>0.16037643856611361</c:v>
                  </c:pt>
                  <c:pt idx="2">
                    <c:v>0.23328994479918388</c:v>
                  </c:pt>
                  <c:pt idx="3">
                    <c:v>0.15130899107500775</c:v>
                  </c:pt>
                  <c:pt idx="4">
                    <c:v>0.13276324085320809</c:v>
                  </c:pt>
                  <c:pt idx="5">
                    <c:v>0.13376102064136311</c:v>
                  </c:pt>
                  <c:pt idx="6">
                    <c:v>0.11419701048545754</c:v>
                  </c:pt>
                  <c:pt idx="7">
                    <c:v>0.25989719803828149</c:v>
                  </c:pt>
                  <c:pt idx="8">
                    <c:v>0.23421969005887719</c:v>
                  </c:pt>
                </c:numCache>
              </c:numRef>
            </c:plus>
            <c:minus>
              <c:numRef>
                <c:f>([1]AllSorgesMean!$K$6,[1]AllSorgesMean!$K$7,[1]AllSorgesMean!$K$14,[1]AllSorgesMean!$K$20,[1]AllSorgesMean!$K$21,[1]AllSorgesMean!$K$24,[1]AllSorgesMean!$K$28,[1]AllSorgesMean!$K$32,[1]AllSorgesMean!$K$36)</c:f>
                <c:numCache>
                  <c:formatCode>General</c:formatCode>
                  <c:ptCount val="9"/>
                  <c:pt idx="0">
                    <c:v>0.22053446780150981</c:v>
                  </c:pt>
                  <c:pt idx="1">
                    <c:v>0.16037643856611361</c:v>
                  </c:pt>
                  <c:pt idx="2">
                    <c:v>0.23328994479918388</c:v>
                  </c:pt>
                  <c:pt idx="3">
                    <c:v>0.15130899107500775</c:v>
                  </c:pt>
                  <c:pt idx="4">
                    <c:v>0.13276324085320809</c:v>
                  </c:pt>
                  <c:pt idx="5">
                    <c:v>0.13376102064136311</c:v>
                  </c:pt>
                  <c:pt idx="6">
                    <c:v>0.11419701048545754</c:v>
                  </c:pt>
                  <c:pt idx="7">
                    <c:v>0.25989719803828149</c:v>
                  </c:pt>
                  <c:pt idx="8">
                    <c:v>0.23421969005887719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([1]AllSorgesMean!$L$6,[1]AllSorgesMean!$L$7,[1]AllSorgesMean!$L$14,[1]AllSorgesMean!$L$20,[1]AllSorgesMean!$L$21,[1]AllSorgesMean!$L$24,[1]AllSorgesMean!$L$28,[1]AllSorgesMean!$L$32,[1]AllSorgesMean!$L$36)</c:f>
                <c:numCache>
                  <c:formatCode>General</c:formatCode>
                  <c:ptCount val="9"/>
                  <c:pt idx="0">
                    <c:v>1.2645644008648109</c:v>
                  </c:pt>
                  <c:pt idx="1">
                    <c:v>1.1705154073832733</c:v>
                  </c:pt>
                  <c:pt idx="2">
                    <c:v>1.0997766943031118</c:v>
                  </c:pt>
                  <c:pt idx="3">
                    <c:v>1.1597326411064495</c:v>
                  </c:pt>
                  <c:pt idx="4">
                    <c:v>1.1700964499810298</c:v>
                  </c:pt>
                  <c:pt idx="5">
                    <c:v>1.2082923680904059</c:v>
                  </c:pt>
                  <c:pt idx="6">
                    <c:v>1.0982142416550005</c:v>
                  </c:pt>
                  <c:pt idx="7">
                    <c:v>1.138808718889754</c:v>
                  </c:pt>
                  <c:pt idx="8">
                    <c:v>1.4367347872971927</c:v>
                  </c:pt>
                </c:numCache>
              </c:numRef>
            </c:plus>
            <c:minus>
              <c:numRef>
                <c:f>([1]AllSorgesMean!$L$6,[1]AllSorgesMean!$L$7,[1]AllSorgesMean!$L$14,[1]AllSorgesMean!$L$20,[1]AllSorgesMean!$L$21,[1]AllSorgesMean!$L$24,[1]AllSorgesMean!$L$28,[1]AllSorgesMean!$L$32,[1]AllSorgesMean!$L$36)</c:f>
                <c:numCache>
                  <c:formatCode>General</c:formatCode>
                  <c:ptCount val="9"/>
                  <c:pt idx="0">
                    <c:v>1.2645644008648109</c:v>
                  </c:pt>
                  <c:pt idx="1">
                    <c:v>1.1705154073832733</c:v>
                  </c:pt>
                  <c:pt idx="2">
                    <c:v>1.0997766943031118</c:v>
                  </c:pt>
                  <c:pt idx="3">
                    <c:v>1.1597326411064495</c:v>
                  </c:pt>
                  <c:pt idx="4">
                    <c:v>1.1700964499810298</c:v>
                  </c:pt>
                  <c:pt idx="5">
                    <c:v>1.2082923680904059</c:v>
                  </c:pt>
                  <c:pt idx="6">
                    <c:v>1.0982142416550005</c:v>
                  </c:pt>
                  <c:pt idx="7">
                    <c:v>1.138808718889754</c:v>
                  </c:pt>
                  <c:pt idx="8">
                    <c:v>1.4367347872971927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(AllSorgesMean!$I$6,AllSorgesMean!$I$7,AllSorgesMean!$I$14,AllSorgesMean!$I$20,AllSorgesMean!$I$21,AllSorgesMean!$I$24,AllSorgesMean!$I$28,AllSorgesMean!$I$32,AllSorgesMean!$I$36)</c:f>
              <c:numCache>
                <c:formatCode>0.0</c:formatCode>
                <c:ptCount val="9"/>
                <c:pt idx="0">
                  <c:v>21.777870113972547</c:v>
                </c:pt>
                <c:pt idx="1">
                  <c:v>23.147240334140797</c:v>
                </c:pt>
                <c:pt idx="2">
                  <c:v>21.256251348737543</c:v>
                </c:pt>
                <c:pt idx="3">
                  <c:v>20.708009920994286</c:v>
                </c:pt>
                <c:pt idx="4">
                  <c:v>21.310410903886588</c:v>
                </c:pt>
                <c:pt idx="5">
                  <c:v>20.853057352045528</c:v>
                </c:pt>
                <c:pt idx="6">
                  <c:v>20.609183974428319</c:v>
                </c:pt>
                <c:pt idx="7">
                  <c:v>20.75502075777316</c:v>
                </c:pt>
                <c:pt idx="8">
                  <c:v>21.576255761483527</c:v>
                </c:pt>
              </c:numCache>
            </c:numRef>
          </c:xVal>
          <c:yVal>
            <c:numRef>
              <c:f>(AllSorgesMean!$J$6,AllSorgesMean!$J$7,AllSorgesMean!$J$14,AllSorgesMean!$J$20,AllSorgesMean!$J$21,AllSorgesMean!$J$24,AllSorgesMean!$J$28,AllSorgesMean!$J$32,AllSorgesMean!$J$36)</c:f>
              <c:numCache>
                <c:formatCode>0.0</c:formatCode>
                <c:ptCount val="9"/>
                <c:pt idx="0">
                  <c:v>-102.54453616787869</c:v>
                </c:pt>
                <c:pt idx="1">
                  <c:v>-100.86640089591623</c:v>
                </c:pt>
                <c:pt idx="2">
                  <c:v>-98.249778731225931</c:v>
                </c:pt>
                <c:pt idx="3">
                  <c:v>-95.627555493225799</c:v>
                </c:pt>
                <c:pt idx="4">
                  <c:v>-104.58520531443087</c:v>
                </c:pt>
                <c:pt idx="5">
                  <c:v>-104.83581119883425</c:v>
                </c:pt>
                <c:pt idx="6">
                  <c:v>-102.30186371030992</c:v>
                </c:pt>
                <c:pt idx="7">
                  <c:v>-99.675268784307477</c:v>
                </c:pt>
                <c:pt idx="8">
                  <c:v>-100.67816762174667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1B-451E-A7C0-93237FB12AB8}"/>
            </c:ext>
          </c:extLst>
        </c:ser>
        <c:ser>
          <c:idx val="1"/>
          <c:order val="1"/>
          <c:tx>
            <c:strRef>
              <c:f>AllSorgesMean!$U$3</c:f>
              <c:strCache>
                <c:ptCount val="1"/>
                <c:pt idx="0">
                  <c:v>Floodplain (outside)</c:v>
                </c:pt>
              </c:strCache>
            </c:strRef>
          </c:tx>
          <c:spPr>
            <a:ln w="41275" cap="rnd">
              <a:solidFill>
                <a:schemeClr val="accent3">
                  <a:lumMod val="60000"/>
                  <a:lumOff val="40000"/>
                  <a:alpha val="81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20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([1]AllSorgesMean!$K$6,[1]AllSorgesMean!$K$8,[1]AllSorgesMean!$K$15,[1]AllSorgesMean!$K$19,[1]AllSorgesMean!$K$22,[1]AllSorgesMean!$K$23,[1]AllSorgesMean!$K$27,[1]AllSorgesMean!$K$31,[1]AllSorgesMean!$K$35)</c:f>
                <c:numCache>
                  <c:formatCode>General</c:formatCode>
                  <c:ptCount val="9"/>
                  <c:pt idx="0">
                    <c:v>0.22053446780150981</c:v>
                  </c:pt>
                  <c:pt idx="1">
                    <c:v>0.23116484455682734</c:v>
                  </c:pt>
                  <c:pt idx="2">
                    <c:v>0.14170982097331494</c:v>
                  </c:pt>
                  <c:pt idx="3">
                    <c:v>0.20435134699429616</c:v>
                  </c:pt>
                  <c:pt idx="4">
                    <c:v>0.17355084807049825</c:v>
                  </c:pt>
                  <c:pt idx="5">
                    <c:v>0.30327790851775388</c:v>
                  </c:pt>
                  <c:pt idx="6">
                    <c:v>0.23954594508100563</c:v>
                  </c:pt>
                  <c:pt idx="7">
                    <c:v>0.11798330450732135</c:v>
                  </c:pt>
                  <c:pt idx="8">
                    <c:v>0.31845037132206894</c:v>
                  </c:pt>
                </c:numCache>
              </c:numRef>
            </c:plus>
            <c:minus>
              <c:numRef>
                <c:f>([1]AllSorgesMean!$K$6,[1]AllSorgesMean!$K$8,[1]AllSorgesMean!$K$15,[1]AllSorgesMean!$K$19,[1]AllSorgesMean!$K$22,[1]AllSorgesMean!$K$23,[1]AllSorgesMean!$K$27,[1]AllSorgesMean!$K$31,[1]AllSorgesMean!$K$35)</c:f>
                <c:numCache>
                  <c:formatCode>General</c:formatCode>
                  <c:ptCount val="9"/>
                  <c:pt idx="0">
                    <c:v>0.22053446780150981</c:v>
                  </c:pt>
                  <c:pt idx="1">
                    <c:v>0.23116484455682734</c:v>
                  </c:pt>
                  <c:pt idx="2">
                    <c:v>0.14170982097331494</c:v>
                  </c:pt>
                  <c:pt idx="3">
                    <c:v>0.20435134699429616</c:v>
                  </c:pt>
                  <c:pt idx="4">
                    <c:v>0.17355084807049825</c:v>
                  </c:pt>
                  <c:pt idx="5">
                    <c:v>0.30327790851775388</c:v>
                  </c:pt>
                  <c:pt idx="6">
                    <c:v>0.23954594508100563</c:v>
                  </c:pt>
                  <c:pt idx="7">
                    <c:v>0.11798330450732135</c:v>
                  </c:pt>
                  <c:pt idx="8">
                    <c:v>0.31845037132206894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([1]AllSorgesMean!$L$6,[1]AllSorgesMean!$L$8,[1]AllSorgesMean!$L$15,[1]AllSorgesMean!$L$19,[1]AllSorgesMean!$L$22,[1]AllSorgesMean!$L$23,[1]AllSorgesMean!$L$27,[1]AllSorgesMean!$L$31,[1]AllSorgesMean!$L$35)</c:f>
                <c:numCache>
                  <c:formatCode>General</c:formatCode>
                  <c:ptCount val="9"/>
                  <c:pt idx="0">
                    <c:v>1.2645644008648109</c:v>
                  </c:pt>
                  <c:pt idx="1">
                    <c:v>0.90617656358420551</c:v>
                  </c:pt>
                  <c:pt idx="2">
                    <c:v>1.0369367828204903</c:v>
                  </c:pt>
                  <c:pt idx="3">
                    <c:v>0.74772615789087082</c:v>
                  </c:pt>
                  <c:pt idx="4">
                    <c:v>0.6778075675513684</c:v>
                  </c:pt>
                  <c:pt idx="5">
                    <c:v>1.4870187551349803</c:v>
                  </c:pt>
                  <c:pt idx="6">
                    <c:v>0.73526080262113103</c:v>
                  </c:pt>
                  <c:pt idx="7">
                    <c:v>0.84646666979525376</c:v>
                  </c:pt>
                  <c:pt idx="8">
                    <c:v>1.4752903957862116</c:v>
                  </c:pt>
                </c:numCache>
              </c:numRef>
            </c:plus>
            <c:minus>
              <c:numRef>
                <c:f>([1]AllSorgesMean!$L$6,[1]AllSorgesMean!$L$8,[1]AllSorgesMean!$L$15,[1]AllSorgesMean!$L$19,[1]AllSorgesMean!$L$22,[1]AllSorgesMean!$L$23,[1]AllSorgesMean!$L$27,[1]AllSorgesMean!$L$31,[1]AllSorgesMean!$L$35)</c:f>
                <c:numCache>
                  <c:formatCode>General</c:formatCode>
                  <c:ptCount val="9"/>
                  <c:pt idx="0">
                    <c:v>1.2645644008648109</c:v>
                  </c:pt>
                  <c:pt idx="1">
                    <c:v>0.90617656358420551</c:v>
                  </c:pt>
                  <c:pt idx="2">
                    <c:v>1.0369367828204903</c:v>
                  </c:pt>
                  <c:pt idx="3">
                    <c:v>0.74772615789087082</c:v>
                  </c:pt>
                  <c:pt idx="4">
                    <c:v>0.6778075675513684</c:v>
                  </c:pt>
                  <c:pt idx="5">
                    <c:v>1.4870187551349803</c:v>
                  </c:pt>
                  <c:pt idx="6">
                    <c:v>0.73526080262113103</c:v>
                  </c:pt>
                  <c:pt idx="7">
                    <c:v>0.84646666979525376</c:v>
                  </c:pt>
                  <c:pt idx="8">
                    <c:v>1.4752903957862116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(AllSorgesMean!$I$6,AllSorgesMean!$I$8,AllSorgesMean!$I$15,AllSorgesMean!$I$19,AllSorgesMean!$I$22,AllSorgesMean!$I$23,AllSorgesMean!$I$27,AllSorgesMean!$I$31,AllSorgesMean!$I$35)</c:f>
              <c:numCache>
                <c:formatCode>0.0</c:formatCode>
                <c:ptCount val="9"/>
                <c:pt idx="0">
                  <c:v>21.777870113972547</c:v>
                </c:pt>
                <c:pt idx="1">
                  <c:v>23.746567218313384</c:v>
                </c:pt>
                <c:pt idx="2">
                  <c:v>20.805575329951708</c:v>
                </c:pt>
                <c:pt idx="3">
                  <c:v>20.927471621264644</c:v>
                </c:pt>
                <c:pt idx="4">
                  <c:v>20.282697741581501</c:v>
                </c:pt>
                <c:pt idx="5">
                  <c:v>19.82629507037937</c:v>
                </c:pt>
                <c:pt idx="6">
                  <c:v>19.168043047524662</c:v>
                </c:pt>
                <c:pt idx="7">
                  <c:v>20.317823158874923</c:v>
                </c:pt>
                <c:pt idx="8">
                  <c:v>19.637001682375384</c:v>
                </c:pt>
              </c:numCache>
            </c:numRef>
          </c:xVal>
          <c:yVal>
            <c:numRef>
              <c:f>(AllSorgesMean!$J$6,AllSorgesMean!$J$8,AllSorgesMean!$J$15,AllSorgesMean!$J$19,AllSorgesMean!$J$22,AllSorgesMean!$J$23,AllSorgesMean!$J$27,AllSorgesMean!$J$31,AllSorgesMean!$J$35)</c:f>
              <c:numCache>
                <c:formatCode>0.0</c:formatCode>
                <c:ptCount val="9"/>
                <c:pt idx="0">
                  <c:v>-102.54453616787869</c:v>
                </c:pt>
                <c:pt idx="1">
                  <c:v>-99.239585410438252</c:v>
                </c:pt>
                <c:pt idx="2">
                  <c:v>-102.04781665765829</c:v>
                </c:pt>
                <c:pt idx="3">
                  <c:v>-111.92085129530217</c:v>
                </c:pt>
                <c:pt idx="4">
                  <c:v>-97.126068042885436</c:v>
                </c:pt>
                <c:pt idx="5">
                  <c:v>-106.54949171165265</c:v>
                </c:pt>
                <c:pt idx="6">
                  <c:v>-107.86597351560476</c:v>
                </c:pt>
                <c:pt idx="7">
                  <c:v>-102.27085314070183</c:v>
                </c:pt>
                <c:pt idx="8">
                  <c:v>-106.23600722082033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1B-451E-A7C0-93237FB12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82767"/>
        <c:axId val="1243625183"/>
      </c:scatterChart>
      <c:valAx>
        <c:axId val="1114182767"/>
        <c:scaling>
          <c:orientation val="minMax"/>
          <c:max val="28"/>
          <c:min val="1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s-ES" baseline="30000"/>
                  <a:t>18</a:t>
                </a:r>
                <a:r>
                  <a:rPr lang="es-ES"/>
                  <a:t>O (‰)</a:t>
                </a:r>
              </a:p>
            </c:rich>
          </c:tx>
          <c:layout>
            <c:manualLayout>
              <c:xMode val="edge"/>
              <c:yMode val="edge"/>
              <c:x val="0.48116378852176189"/>
              <c:y val="0.87874221185968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25183"/>
        <c:crossesAt val="-120"/>
        <c:crossBetween val="midCat"/>
        <c:majorUnit val="1"/>
      </c:valAx>
      <c:valAx>
        <c:axId val="1243625183"/>
        <c:scaling>
          <c:orientation val="minMax"/>
          <c:max val="-79"/>
          <c:min val="-1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s-ES"/>
                  <a:t>D(‰)</a:t>
                </a:r>
              </a:p>
            </c:rich>
          </c:tx>
          <c:layout>
            <c:manualLayout>
              <c:xMode val="edge"/>
              <c:yMode val="edge"/>
              <c:x val="1.0806228076630609E-2"/>
              <c:y val="0.36778229622297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82767"/>
        <c:crossesAt val="18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720372278231575"/>
          <c:y val="0.92479622565102748"/>
          <c:w val="0.81222925405352364"/>
          <c:h val="7.0194301161212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49020"/>
      </a:srgbClr>
    </a:solidFill>
    <a:ln w="9525" cap="flat" cmpd="sng" algn="ctr">
      <a:noFill/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Ash </a:t>
            </a:r>
          </a:p>
        </c:rich>
      </c:tx>
      <c:layout>
        <c:manualLayout>
          <c:xMode val="edge"/>
          <c:yMode val="edge"/>
          <c:x val="0.51433665710010545"/>
          <c:y val="2.4393768877466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95098977113843"/>
          <c:y val="9.9160404395824561E-2"/>
          <c:w val="0.83508761171208734"/>
          <c:h val="0.720973129229146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AllSorgesMean!$U$2</c:f>
              <c:strCache>
                <c:ptCount val="1"/>
                <c:pt idx="0">
                  <c:v>Floating (instream)</c:v>
                </c:pt>
              </c:strCache>
            </c:strRef>
          </c:tx>
          <c:spPr>
            <a:ln w="31750" cap="rnd">
              <a:solidFill>
                <a:srgbClr val="C070D6">
                  <a:alpha val="73000"/>
                </a:srgbClr>
              </a:solidFill>
              <a:prstDash val="dash"/>
              <a:round/>
            </a:ln>
            <a:effectLst/>
          </c:spPr>
          <c:marker>
            <c:symbol val="triangle"/>
            <c:size val="24"/>
            <c:spPr>
              <a:solidFill>
                <a:srgbClr val="C070D6"/>
              </a:solidFill>
              <a:ln w="6350">
                <a:solidFill>
                  <a:srgbClr val="C070D6">
                    <a:alpha val="73000"/>
                  </a:srgb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([1]AllSorgesMean!$K$2,[1]AllSorgesMean!$K$3,[1]AllSorgesMean!$K$10,[1]AllSorgesMean!$K$16,[1]AllSorgesMean!$K$17,[1]AllSorgesMean!$K$26,[1]AllSorgesMean!$K$30,[1]AllSorgesMean!$K$34)</c:f>
                <c:numCache>
                  <c:formatCode>General</c:formatCode>
                  <c:ptCount val="8"/>
                  <c:pt idx="0">
                    <c:v>0.30397236976338304</c:v>
                  </c:pt>
                  <c:pt idx="1">
                    <c:v>0.54863076591115467</c:v>
                  </c:pt>
                  <c:pt idx="2">
                    <c:v>0.23328009703098626</c:v>
                  </c:pt>
                  <c:pt idx="3">
                    <c:v>0.24685101718554531</c:v>
                  </c:pt>
                  <c:pt idx="4">
                    <c:v>0.2874452438661077</c:v>
                  </c:pt>
                  <c:pt idx="5">
                    <c:v>0.25923004851939718</c:v>
                  </c:pt>
                  <c:pt idx="6">
                    <c:v>0.31093542262836876</c:v>
                  </c:pt>
                  <c:pt idx="7">
                    <c:v>0.56774863020965416</c:v>
                  </c:pt>
                </c:numCache>
              </c:numRef>
            </c:plus>
            <c:minus>
              <c:numRef>
                <c:f>([1]AllSorgesMean!$K$2,[1]AllSorgesMean!$K$3,[1]AllSorgesMean!$K$10,[1]AllSorgesMean!$K$16,[1]AllSorgesMean!$K$17,[1]AllSorgesMean!$K$26,[1]AllSorgesMean!$K$30,[1]AllSorgesMean!$K$34)</c:f>
                <c:numCache>
                  <c:formatCode>General</c:formatCode>
                  <c:ptCount val="8"/>
                  <c:pt idx="0">
                    <c:v>0.30397236976338304</c:v>
                  </c:pt>
                  <c:pt idx="1">
                    <c:v>0.54863076591115467</c:v>
                  </c:pt>
                  <c:pt idx="2">
                    <c:v>0.23328009703098626</c:v>
                  </c:pt>
                  <c:pt idx="3">
                    <c:v>0.24685101718554531</c:v>
                  </c:pt>
                  <c:pt idx="4">
                    <c:v>0.2874452438661077</c:v>
                  </c:pt>
                  <c:pt idx="5">
                    <c:v>0.25923004851939718</c:v>
                  </c:pt>
                  <c:pt idx="6">
                    <c:v>0.31093542262836876</c:v>
                  </c:pt>
                  <c:pt idx="7">
                    <c:v>0.56774863020965416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([1]AllSorgesMean!$L$2,[1]AllSorgesMean!$L$3,[1]AllSorgesMean!$L$10,[1]AllSorgesMean!$L$16,[1]AllSorgesMean!$L$17,[1]AllSorgesMean!$L$26,[1]AllSorgesMean!$L$30,[1]AllSorgesMean!$L$34)</c:f>
                <c:numCache>
                  <c:formatCode>General</c:formatCode>
                  <c:ptCount val="8"/>
                  <c:pt idx="0">
                    <c:v>1.9230322849013377</c:v>
                  </c:pt>
                  <c:pt idx="1">
                    <c:v>1.8964765754988202</c:v>
                  </c:pt>
                  <c:pt idx="2">
                    <c:v>2.1413988849970931</c:v>
                  </c:pt>
                  <c:pt idx="3">
                    <c:v>1.7294683159257969</c:v>
                  </c:pt>
                  <c:pt idx="4">
                    <c:v>2.1001479512490318</c:v>
                  </c:pt>
                  <c:pt idx="5">
                    <c:v>1.0027036879997966</c:v>
                  </c:pt>
                  <c:pt idx="6">
                    <c:v>2.0434796904849648</c:v>
                  </c:pt>
                  <c:pt idx="7">
                    <c:v>3.9823025703763042</c:v>
                  </c:pt>
                </c:numCache>
              </c:numRef>
            </c:plus>
            <c:minus>
              <c:numRef>
                <c:f>([1]AllSorgesMean!$L$2,[1]AllSorgesMean!$L$3,[1]AllSorgesMean!$L$10,[1]AllSorgesMean!$L$16,[1]AllSorgesMean!$L$17,[1]AllSorgesMean!$L$26,[1]AllSorgesMean!$L$30,[1]AllSorgesMean!$L$34)</c:f>
                <c:numCache>
                  <c:formatCode>General</c:formatCode>
                  <c:ptCount val="8"/>
                  <c:pt idx="0">
                    <c:v>1.9230322849013377</c:v>
                  </c:pt>
                  <c:pt idx="1">
                    <c:v>1.8964765754988202</c:v>
                  </c:pt>
                  <c:pt idx="2">
                    <c:v>2.1413988849970931</c:v>
                  </c:pt>
                  <c:pt idx="3">
                    <c:v>1.7294683159257969</c:v>
                  </c:pt>
                  <c:pt idx="4">
                    <c:v>2.1001479512490318</c:v>
                  </c:pt>
                  <c:pt idx="5">
                    <c:v>1.0027036879997966</c:v>
                  </c:pt>
                  <c:pt idx="6">
                    <c:v>2.0434796904849648</c:v>
                  </c:pt>
                  <c:pt idx="7">
                    <c:v>3.9823025703763042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(AllSorgesMean!$I$2,AllSorgesMean!$I$3,AllSorgesMean!$I$10,AllSorgesMean!$I$16,AllSorgesMean!$I$17,AllSorgesMean!$I$26,AllSorgesMean!$I$30,AllSorgesMean!$I$34)</c:f>
              <c:numCache>
                <c:formatCode>0.0</c:formatCode>
                <c:ptCount val="8"/>
                <c:pt idx="0">
                  <c:v>23.842153989143974</c:v>
                </c:pt>
                <c:pt idx="1">
                  <c:v>23.269846204031339</c:v>
                </c:pt>
                <c:pt idx="2">
                  <c:v>21.820677772843432</c:v>
                </c:pt>
                <c:pt idx="3">
                  <c:v>22.174855379802469</c:v>
                </c:pt>
                <c:pt idx="4">
                  <c:v>22.170171712435344</c:v>
                </c:pt>
                <c:pt idx="5">
                  <c:v>20.614850791147159</c:v>
                </c:pt>
                <c:pt idx="6">
                  <c:v>21.593933369857663</c:v>
                </c:pt>
                <c:pt idx="7">
                  <c:v>21.497191098278115</c:v>
                </c:pt>
              </c:numCache>
            </c:numRef>
          </c:xVal>
          <c:yVal>
            <c:numRef>
              <c:f>(AllSorgesMean!$J$2,AllSorgesMean!$J$3,AllSorgesMean!$J$10,AllSorgesMean!$J$16,AllSorgesMean!$J$17,AllSorgesMean!$J$26,AllSorgesMean!$J$30,AllSorgesMean!$J$34)</c:f>
              <c:numCache>
                <c:formatCode>0.0</c:formatCode>
                <c:ptCount val="8"/>
                <c:pt idx="0">
                  <c:v>-99.352843155039125</c:v>
                </c:pt>
                <c:pt idx="1">
                  <c:v>-81.694286192734936</c:v>
                </c:pt>
                <c:pt idx="2">
                  <c:v>-90.372491155766994</c:v>
                </c:pt>
                <c:pt idx="3">
                  <c:v>-84.056366180494749</c:v>
                </c:pt>
                <c:pt idx="4">
                  <c:v>-84.87507963200423</c:v>
                </c:pt>
                <c:pt idx="5">
                  <c:v>-92.235105591005407</c:v>
                </c:pt>
                <c:pt idx="6">
                  <c:v>-86.652909453730132</c:v>
                </c:pt>
                <c:pt idx="7">
                  <c:v>-82.136817162658772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8-4E9E-BACF-25CE0DBCC4C6}"/>
            </c:ext>
          </c:extLst>
        </c:ser>
        <c:ser>
          <c:idx val="1"/>
          <c:order val="1"/>
          <c:tx>
            <c:strRef>
              <c:f>AllSorgesMean!$U$3</c:f>
              <c:strCache>
                <c:ptCount val="1"/>
                <c:pt idx="0">
                  <c:v>Floodplain (outside)</c:v>
                </c:pt>
              </c:strCache>
            </c:strRef>
          </c:tx>
          <c:spPr>
            <a:ln w="4127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20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([1]AllSorgesMean!$K$2,[1]AllSorgesMean!$K$4,[1]AllSorgesMean!$K$11,[1]AllSorgesMean!$K$12,[1]AllSorgesMean!$K$18,[1]AllSorgesMean!$K$25,[1]AllSorgesMean!$K$29,[1]AllSorgesMean!$K$33,[1]AllSorgesMean!$K$37)</c:f>
                <c:numCache>
                  <c:formatCode>General</c:formatCode>
                  <c:ptCount val="9"/>
                  <c:pt idx="0">
                    <c:v>0.30397236976338304</c:v>
                  </c:pt>
                  <c:pt idx="1">
                    <c:v>0.37422536740401885</c:v>
                  </c:pt>
                  <c:pt idx="2">
                    <c:v>0.27504668291963547</c:v>
                  </c:pt>
                  <c:pt idx="3">
                    <c:v>0.21822789378323867</c:v>
                  </c:pt>
                  <c:pt idx="4">
                    <c:v>0.21885395811578007</c:v>
                  </c:pt>
                  <c:pt idx="5">
                    <c:v>0.21543841963769597</c:v>
                  </c:pt>
                  <c:pt idx="6">
                    <c:v>0.11715627331112301</c:v>
                  </c:pt>
                  <c:pt idx="7">
                    <c:v>0.54815095887502485</c:v>
                  </c:pt>
                  <c:pt idx="8">
                    <c:v>0.3479648565946909</c:v>
                  </c:pt>
                </c:numCache>
              </c:numRef>
            </c:plus>
            <c:minus>
              <c:numRef>
                <c:f>([1]AllSorgesMean!$K$2,[1]AllSorgesMean!$K$4,[1]AllSorgesMean!$K$11,[1]AllSorgesMean!$K$12,[1]AllSorgesMean!$K$18,[1]AllSorgesMean!$K$25,[1]AllSorgesMean!$K$29,[1]AllSorgesMean!$K$33,[1]AllSorgesMean!$K$37)</c:f>
                <c:numCache>
                  <c:formatCode>General</c:formatCode>
                  <c:ptCount val="9"/>
                  <c:pt idx="0">
                    <c:v>0.30397236976338304</c:v>
                  </c:pt>
                  <c:pt idx="1">
                    <c:v>0.37422536740401885</c:v>
                  </c:pt>
                  <c:pt idx="2">
                    <c:v>0.27504668291963547</c:v>
                  </c:pt>
                  <c:pt idx="3">
                    <c:v>0.21822789378323867</c:v>
                  </c:pt>
                  <c:pt idx="4">
                    <c:v>0.21885395811578007</c:v>
                  </c:pt>
                  <c:pt idx="5">
                    <c:v>0.21543841963769597</c:v>
                  </c:pt>
                  <c:pt idx="6">
                    <c:v>0.11715627331112301</c:v>
                  </c:pt>
                  <c:pt idx="7">
                    <c:v>0.54815095887502485</c:v>
                  </c:pt>
                  <c:pt idx="8">
                    <c:v>0.3479648565946909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([1]AllSorgesMean!$L$2,[1]AllSorgesMean!$L$4,[1]AllSorgesMean!$L$11,[1]AllSorgesMean!$L$12,[1]AllSorgesMean!$L$18,[1]AllSorgesMean!$L$25,[1]AllSorgesMean!$L$29,[1]AllSorgesMean!$L$33,[1]AllSorgesMean!$L$37)</c:f>
                <c:numCache>
                  <c:formatCode>General</c:formatCode>
                  <c:ptCount val="9"/>
                  <c:pt idx="0">
                    <c:v>1.9230322849013377</c:v>
                  </c:pt>
                  <c:pt idx="1">
                    <c:v>1.7132716258913603</c:v>
                  </c:pt>
                  <c:pt idx="2">
                    <c:v>1.1106258629244588</c:v>
                  </c:pt>
                  <c:pt idx="3">
                    <c:v>2.097430632085405</c:v>
                  </c:pt>
                  <c:pt idx="4">
                    <c:v>1.7929543500418066</c:v>
                  </c:pt>
                  <c:pt idx="5">
                    <c:v>2.7028186500165359</c:v>
                  </c:pt>
                  <c:pt idx="6">
                    <c:v>2.9252879458245076</c:v>
                  </c:pt>
                  <c:pt idx="7">
                    <c:v>1.5421389861160402</c:v>
                  </c:pt>
                  <c:pt idx="8">
                    <c:v>2.1639410141166016</c:v>
                  </c:pt>
                </c:numCache>
              </c:numRef>
            </c:plus>
            <c:minus>
              <c:numRef>
                <c:f>([1]AllSorgesMean!$L$2,[1]AllSorgesMean!$L$4,[1]AllSorgesMean!$L$11,[1]AllSorgesMean!$L$12,[1]AllSorgesMean!$L$18,[1]AllSorgesMean!$L$25,[1]AllSorgesMean!$L$29,[1]AllSorgesMean!$L$33,[1]AllSorgesMean!$L$37)</c:f>
                <c:numCache>
                  <c:formatCode>General</c:formatCode>
                  <c:ptCount val="9"/>
                  <c:pt idx="0">
                    <c:v>1.9230322849013377</c:v>
                  </c:pt>
                  <c:pt idx="1">
                    <c:v>1.7132716258913603</c:v>
                  </c:pt>
                  <c:pt idx="2">
                    <c:v>1.1106258629244588</c:v>
                  </c:pt>
                  <c:pt idx="3">
                    <c:v>2.097430632085405</c:v>
                  </c:pt>
                  <c:pt idx="4">
                    <c:v>1.7929543500418066</c:v>
                  </c:pt>
                  <c:pt idx="5">
                    <c:v>2.7028186500165359</c:v>
                  </c:pt>
                  <c:pt idx="6">
                    <c:v>2.9252879458245076</c:v>
                  </c:pt>
                  <c:pt idx="7">
                    <c:v>1.5421389861160402</c:v>
                  </c:pt>
                  <c:pt idx="8">
                    <c:v>2.1639410141166016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(AllSorgesMean!$I$2,AllSorgesMean!$I$4,AllSorgesMean!$I$11,AllSorgesMean!$I$12,AllSorgesMean!$I$18,AllSorgesMean!$I$25,AllSorgesMean!$I$29,AllSorgesMean!$I$33,AllSorgesMean!$I$37)</c:f>
              <c:numCache>
                <c:formatCode>0.0</c:formatCode>
                <c:ptCount val="9"/>
                <c:pt idx="0">
                  <c:v>23.842153989143974</c:v>
                </c:pt>
                <c:pt idx="1">
                  <c:v>23.857991798827172</c:v>
                </c:pt>
                <c:pt idx="2">
                  <c:v>22.068054570402829</c:v>
                </c:pt>
                <c:pt idx="3">
                  <c:v>22.02810046896591</c:v>
                </c:pt>
                <c:pt idx="4">
                  <c:v>22.040942073390319</c:v>
                </c:pt>
                <c:pt idx="5">
                  <c:v>22.121182508802484</c:v>
                </c:pt>
                <c:pt idx="6">
                  <c:v>21.523982901031872</c:v>
                </c:pt>
                <c:pt idx="7">
                  <c:v>21.439509587583274</c:v>
                </c:pt>
                <c:pt idx="8">
                  <c:v>21.440499983045857</c:v>
                </c:pt>
              </c:numCache>
            </c:numRef>
          </c:xVal>
          <c:yVal>
            <c:numRef>
              <c:f>(AllSorgesMean!$J$2,AllSorgesMean!$J$4,AllSorgesMean!$J$11,AllSorgesMean!$J$12,AllSorgesMean!$J$18,AllSorgesMean!$J$25,AllSorgesMean!$J$29,AllSorgesMean!$J$33,AllSorgesMean!$J$37)</c:f>
              <c:numCache>
                <c:formatCode>0.0</c:formatCode>
                <c:ptCount val="9"/>
                <c:pt idx="0">
                  <c:v>-99.352843155039125</c:v>
                </c:pt>
                <c:pt idx="1">
                  <c:v>-87.182990497598354</c:v>
                </c:pt>
                <c:pt idx="2">
                  <c:v>-81.366405937724792</c:v>
                </c:pt>
                <c:pt idx="3">
                  <c:v>-97.698990921781018</c:v>
                </c:pt>
                <c:pt idx="4">
                  <c:v>-97.737716201792097</c:v>
                </c:pt>
                <c:pt idx="5">
                  <c:v>-93.693347036324226</c:v>
                </c:pt>
                <c:pt idx="6">
                  <c:v>-90.700701246714885</c:v>
                </c:pt>
                <c:pt idx="7">
                  <c:v>-89.103566197887574</c:v>
                </c:pt>
                <c:pt idx="8">
                  <c:v>-101.35089286926619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48-4E9E-BACF-25CE0DBC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82767"/>
        <c:axId val="1243625183"/>
      </c:scatterChart>
      <c:valAx>
        <c:axId val="1114182767"/>
        <c:scaling>
          <c:orientation val="minMax"/>
          <c:max val="28"/>
          <c:min val="1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s-ES" baseline="30000"/>
                  <a:t>18</a:t>
                </a:r>
                <a:r>
                  <a:rPr lang="es-ES"/>
                  <a:t>O (‰)</a:t>
                </a:r>
              </a:p>
            </c:rich>
          </c:tx>
          <c:layout>
            <c:manualLayout>
              <c:xMode val="edge"/>
              <c:yMode val="edge"/>
              <c:x val="0.47207759952903083"/>
              <c:y val="0.88192612894356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25183"/>
        <c:crossesAt val="-120"/>
        <c:crossBetween val="midCat"/>
        <c:majorUnit val="1"/>
      </c:valAx>
      <c:valAx>
        <c:axId val="1243625183"/>
        <c:scaling>
          <c:orientation val="minMax"/>
          <c:max val="-79"/>
          <c:min val="-1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s-ES"/>
                  <a:t>D(‰)</a:t>
                </a:r>
              </a:p>
            </c:rich>
          </c:tx>
          <c:layout>
            <c:manualLayout>
              <c:xMode val="edge"/>
              <c:yMode val="edge"/>
              <c:x val="9.5082010776690318E-3"/>
              <c:y val="0.40827360261719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82767"/>
        <c:crossesAt val="18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25412098020458"/>
          <c:y val="0.93225329491320286"/>
          <c:w val="0.8558762806518343"/>
          <c:h val="6.1600470935424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_xlchart.v1.133</cx:f>
      </cx:numDim>
    </cx:data>
    <cx:data id="1">
      <cx:numDim type="val">
        <cx:f>_xlchart.v1.134</cx:f>
      </cx:numDim>
    </cx:data>
    <cx:data id="2">
      <cx:numDim type="val">
        <cx:f>_xlchart.v1.126</cx:f>
      </cx:numDim>
    </cx:data>
    <cx:data id="3">
      <cx:numDim type="val">
        <cx:f>_xlchart.v1.127</cx:f>
      </cx:numDim>
    </cx:data>
    <cx:data id="4">
      <cx:numDim type="val">
        <cx:f>_xlchart.v1.128</cx:f>
      </cx:numDim>
    </cx:data>
    <cx:data id="5">
      <cx:numDim type="val">
        <cx:f>_xlchart.v1.129</cx:f>
      </cx:numDim>
    </cx:data>
    <cx:data id="6">
      <cx:numDim type="val">
        <cx:f>_xlchart.v1.130</cx:f>
      </cx:numDim>
    </cx:data>
    <cx:data id="7">
      <cx:numDim type="val">
        <cx:f>_xlchart.v1.131</cx:f>
      </cx:numDim>
    </cx:data>
    <cx:data id="8">
      <cx:numDim type="val">
        <cx:f>_xlchart.v1.132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Floating (instream) log - Alder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_xlchart.v1.135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_xlchart.v1.143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_xlchart.v1.136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_xlchart.v1.137</cx:f>
              <cx:v>Dic.21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_xlchart.v1.138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1F26-4FBD-9549-EBD0AB4524F1}" formatIdx="5">
          <cx:tx>
            <cx:txData>
              <cx:f>_xlchart.v1.139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1F26-4FBD-9549-EBD0AB4524F1}" formatIdx="6">
          <cx:tx>
            <cx:txData>
              <cx:f>_xlchart.v1.140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1F26-4FBD-9549-EBD0AB4524F1}" formatIdx="7">
          <cx:tx>
            <cx:txData>
              <cx:f>_xlchart.v1.141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3-1F26-4FBD-9549-EBD0AB4524F1}" formatIdx="8">
          <cx:tx>
            <cx:txData>
              <cx:f>_xlchart.v1.142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26" min="18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18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O(‰)</a:t>
                </a:r>
                <a:endParaRPr lang="en-US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_xlchart.v1.115</cx:f>
      </cx:numDim>
    </cx:data>
    <cx:data id="1">
      <cx:numDim type="val">
        <cx:f>_xlchart.v1.116</cx:f>
      </cx:numDim>
    </cx:data>
    <cx:data id="2">
      <cx:numDim type="val">
        <cx:f>_xlchart.v1.108</cx:f>
      </cx:numDim>
    </cx:data>
    <cx:data id="3">
      <cx:numDim type="val">
        <cx:f>_xlchart.v1.109</cx:f>
      </cx:numDim>
    </cx:data>
    <cx:data id="4">
      <cx:numDim type="val">
        <cx:f>_xlchart.v1.110</cx:f>
      </cx:numDim>
    </cx:data>
    <cx:data id="5">
      <cx:numDim type="val">
        <cx:f>_xlchart.v1.111</cx:f>
      </cx:numDim>
    </cx:data>
    <cx:data id="6">
      <cx:numDim type="val">
        <cx:f>_xlchart.v1.112</cx:f>
      </cx:numDim>
    </cx:data>
    <cx:data id="7">
      <cx:numDim type="val">
        <cx:f>_xlchart.v1.113</cx:f>
      </cx:numDim>
    </cx:data>
    <cx:data id="8">
      <cx:numDim type="val">
        <cx:f>_xlchart.v1.114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Floodplain (outside) - Alder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_xlchart.v1.117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_xlchart.v1.125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_xlchart.v1.118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_xlchart.v1.119</cx:f>
              <cx:v>Dic.21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_xlchart.v1.120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394E-4A8F-B4F5-3FAD1D4AD808}" formatIdx="5">
          <cx:tx>
            <cx:txData>
              <cx:f>_xlchart.v1.121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394E-4A8F-B4F5-3FAD1D4AD808}" formatIdx="6">
          <cx:tx>
            <cx:txData>
              <cx:f>_xlchart.v1.122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394E-4A8F-B4F5-3FAD1D4AD808}" formatIdx="7">
          <cx:tx>
            <cx:txData>
              <cx:f>_xlchart.v1.123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3-394E-4A8F-B4F5-3FAD1D4AD808}" formatIdx="8">
          <cx:tx>
            <cx:txData>
              <cx:f>_xlchart.v1.124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26" min="18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18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O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(‰)</a:t>
                </a:r>
                <a:endParaRPr lang="es-ES" sz="1600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_xlchart.v1.2</cx:f>
      </cx:numDim>
    </cx:data>
    <cx:data id="2">
      <cx:numDim type="val">
        <cx:f>_xlchart.v1.8</cx:f>
      </cx:numDim>
    </cx:data>
    <cx:data id="3">
      <cx:numDim type="val">
        <cx:f>_xlchart.v1.0</cx:f>
      </cx:numDim>
    </cx:data>
    <cx:data id="4">
      <cx:numDim type="val">
        <cx:f>_xlchart.v1.1</cx:f>
      </cx:numDim>
    </cx:data>
    <cx:data id="5">
      <cx:numDim type="val">
        <cx:f>_xlchart.v1.3</cx:f>
      </cx:numDim>
    </cx:data>
    <cx:data id="6">
      <cx:numDim type="val">
        <cx:f>_xlchart.v1.4</cx:f>
      </cx:numDim>
    </cx:data>
    <cx:data id="7">
      <cx:numDim type="val">
        <cx:f>_xlchart.v1.6</cx:f>
      </cx:numDim>
    </cx:data>
    <cx:data id="8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Floodplain (outside) - Ash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_xlchart.v1.9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_xlchart.v1.13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_xlchart.v1.17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_xlchart.v1.10</cx:f>
              <cx:v>Dic.21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_xlchart.v1.11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0778-44C7-8266-8153DEA4B705}" formatIdx="5">
          <cx:tx>
            <cx:txData>
              <cx:f>_xlchart.v1.12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0778-44C7-8266-8153DEA4B705}" formatIdx="6">
          <cx:tx>
            <cx:txData>
              <cx:f>_xlchart.v1.14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0778-44C7-8266-8153DEA4B705}" formatIdx="7">
          <cx:tx>
            <cx:txData>
              <cx:f>_xlchart.v1.15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3-0778-44C7-8266-8153DEA4B705}" formatIdx="8">
          <cx:tx>
            <cx:txData>
              <cx:f>_xlchart.v1.16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-70" min="-1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D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(‰)</a:t>
                </a:r>
                <a:endParaRPr lang="es-ES" sz="1600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_xlchart.v1.20</cx:f>
      </cx:numDim>
    </cx:data>
    <cx:data id="2">
      <cx:numDim type="val">
        <cx:f>_xlchart.v1.27</cx:f>
      </cx:numDim>
    </cx:data>
    <cx:data id="3">
      <cx:numDim type="val">
        <cx:f>_xlchart.v1.21</cx:f>
      </cx:numDim>
    </cx:data>
    <cx:data id="4">
      <cx:numDim type="val">
        <cx:f>_xlchart.v1.22</cx:f>
      </cx:numDim>
    </cx:data>
    <cx:data id="5">
      <cx:numDim type="val">
        <cx:f>_xlchart.v1.23</cx:f>
      </cx:numDim>
    </cx:data>
    <cx:data id="6">
      <cx:numDim type="val">
        <cx:f>_xlchart.v1.24</cx:f>
      </cx:numDim>
    </cx:data>
    <cx:data id="7">
      <cx:numDim type="val">
        <cx:f>_xlchart.v1.26</cx:f>
      </cx:numDim>
    </cx:data>
    <cx:data id="8"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Floating (instream) log - Ash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_xlchart.v1.28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_xlchart.v1.32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_xlchart.v1.35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_xlchart.v1.29</cx:f>
              <cx:v>Dic.21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_xlchart.v1.30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82C3-4F91-9855-90B115650E8D}" formatIdx="5">
          <cx:tx>
            <cx:txData>
              <cx:f>_xlchart.v1.31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82C3-4F91-9855-90B115650E8D}" formatIdx="6">
          <cx:tx>
            <cx:txData>
              <cx:f>_xlchart.v1.33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82C3-4F91-9855-90B115650E8D}" formatIdx="7">
          <cx:tx>
            <cx:txData>
              <cx:f>_xlchart.v1.34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0-EBF7-4F05-9D26-5CBF02E53C05}" formatIdx="8">
          <cx:tx>
            <cx:txData>
              <cx:f>_xlchart.v1.19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-70" min="-1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D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(‰)</a:t>
                </a:r>
                <a:endParaRPr lang="es-ES" sz="1600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_xlchart.v1.38</cx:f>
      </cx:numDim>
    </cx:data>
    <cx:data id="2">
      <cx:numDim type="val">
        <cx:f>_xlchart.v1.44</cx:f>
      </cx:numDim>
    </cx:data>
    <cx:data id="3">
      <cx:numDim type="val">
        <cx:f>_xlchart.v1.36</cx:f>
      </cx:numDim>
    </cx:data>
    <cx:data id="4">
      <cx:numDim type="val">
        <cx:f>_xlchart.v1.37</cx:f>
      </cx:numDim>
    </cx:data>
    <cx:data id="5">
      <cx:numDim type="val">
        <cx:f>_xlchart.v1.39</cx:f>
      </cx:numDim>
    </cx:data>
    <cx:data id="6">
      <cx:numDim type="val">
        <cx:f>_xlchart.v1.40</cx:f>
      </cx:numDim>
    </cx:data>
    <cx:data id="7">
      <cx:numDim type="val">
        <cx:f>_xlchart.v1.42</cx:f>
      </cx:numDim>
    </cx:data>
    <cx:data id="8">
      <cx:numDim type="val">
        <cx:f>_xlchart.v1.43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Floodplain (outside) </a:t>
            </a: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- Ash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_xlchart.v1.45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_xlchart.v1.49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_xlchart.v1.53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_xlchart.v1.46</cx:f>
              <cx:v>Dic.21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_xlchart.v1.47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0F88-49F2-892D-C23407E83F44}" formatIdx="5">
          <cx:tx>
            <cx:txData>
              <cx:f>_xlchart.v1.48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0F88-49F2-892D-C23407E83F44}" formatIdx="6">
          <cx:tx>
            <cx:txData>
              <cx:f>_xlchart.v1.50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0F88-49F2-892D-C23407E83F44}" formatIdx="7">
          <cx:tx>
            <cx:txData>
              <cx:f>_xlchart.v1.51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3-0F88-49F2-892D-C23407E83F44}" formatIdx="8">
          <cx:tx>
            <cx:txData>
              <cx:f>_xlchart.v1.52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26" min="18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18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O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(‰)</a:t>
                </a:r>
                <a:endParaRPr lang="es-ES" sz="1600" baseline="30000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_xlchart.v1.80</cx:f>
      </cx:numDim>
    </cx:data>
    <cx:data id="1">
      <cx:numDim type="val">
        <cx:f>_xlchart.v1.75</cx:f>
      </cx:numDim>
    </cx:data>
    <cx:data id="2">
      <cx:numDim type="val">
        <cx:f>_xlchart.v1.82</cx:f>
      </cx:numDim>
    </cx:data>
    <cx:data id="3">
      <cx:numDim type="val">
        <cx:f>_xlchart.v1.76</cx:f>
      </cx:numDim>
    </cx:data>
    <cx:data id="4">
      <cx:numDim type="val">
        <cx:f>_xlchart.v1.77</cx:f>
      </cx:numDim>
    </cx:data>
    <cx:data id="5">
      <cx:numDim type="val">
        <cx:f>_xlchart.v1.78</cx:f>
      </cx:numDim>
    </cx:data>
    <cx:data id="6">
      <cx:numDim type="val">
        <cx:f>_xlchart.v1.79</cx:f>
      </cx:numDim>
    </cx:data>
    <cx:data id="7">
      <cx:numDim type="val">
        <cx:f>_xlchart.v1.81</cx:f>
      </cx:numDim>
    </cx:data>
    <cx:data id="8">
      <cx:numDim type="val">
        <cx:f>_xlchart.v1.73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Floating (instream) log - </a:t>
            </a: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 Ash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_xlchart.v1.83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_xlchart.v1.87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_xlchart.v1.90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_xlchart.v1.84</cx:f>
              <cx:v>Dic.21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_xlchart.v1.85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B5FA-492D-AB16-BD1D47C55E21}" formatIdx="5">
          <cx:tx>
            <cx:txData>
              <cx:f>_xlchart.v1.86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B5FA-492D-AB16-BD1D47C55E21}" formatIdx="6">
          <cx:tx>
            <cx:txData>
              <cx:f>_xlchart.v1.88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B5FA-492D-AB16-BD1D47C55E21}" formatIdx="7">
          <cx:tx>
            <cx:txData>
              <cx:f>_xlchart.v1.89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0-8B44-44A6-88B5-BE989C3C158D}" formatIdx="8">
          <cx:tx>
            <cx:txData>
              <cx:f>_xlchart.v1.74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26" min="18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18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O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(‰)</a:t>
                </a:r>
                <a:endParaRPr lang="es-ES" sz="1600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_xlchart.v1.71</cx:f>
      </cx:strDim>
      <cx:numDim type="val">
        <cx:f>_xlchart.v1.61</cx:f>
      </cx:numDim>
    </cx:data>
    <cx:data id="1">
      <cx:strDim type="cat">
        <cx:f>_xlchart.v1.71</cx:f>
      </cx:strDim>
      <cx:numDim type="val">
        <cx:f>_xlchart.v1.62</cx:f>
      </cx:numDim>
    </cx:data>
    <cx:data id="2">
      <cx:strDim type="cat">
        <cx:f>_xlchart.v1.71</cx:f>
      </cx:strDim>
      <cx:numDim type="val">
        <cx:f>_xlchart.v1.54</cx:f>
      </cx:numDim>
    </cx:data>
    <cx:data id="3">
      <cx:strDim type="cat">
        <cx:f>_xlchart.v1.71</cx:f>
      </cx:strDim>
      <cx:numDim type="val">
        <cx:f>_xlchart.v1.55</cx:f>
      </cx:numDim>
    </cx:data>
    <cx:data id="4">
      <cx:strDim type="cat">
        <cx:f>_xlchart.v1.71</cx:f>
      </cx:strDim>
      <cx:numDim type="val">
        <cx:f>_xlchart.v1.56</cx:f>
      </cx:numDim>
    </cx:data>
    <cx:data id="5">
      <cx:strDim type="cat">
        <cx:f>_xlchart.v1.71</cx:f>
      </cx:strDim>
      <cx:numDim type="val">
        <cx:f>_xlchart.v1.57</cx:f>
      </cx:numDim>
    </cx:data>
    <cx:data id="6">
      <cx:strDim type="cat">
        <cx:f>_xlchart.v1.71</cx:f>
      </cx:strDim>
      <cx:numDim type="val">
        <cx:f>_xlchart.v1.58</cx:f>
      </cx:numDim>
    </cx:data>
    <cx:data id="7">
      <cx:strDim type="cat">
        <cx:f>_xlchart.v1.71</cx:f>
      </cx:strDim>
      <cx:numDim type="val">
        <cx:f>_xlchart.v1.59</cx:f>
      </cx:numDim>
    </cx:data>
    <cx:data id="8">
      <cx:strDim type="cat">
        <cx:f>_xlchart.v1.71</cx:f>
      </cx:strDim>
      <cx:numDim type="val">
        <cx:f>_xlchart.v1.60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Floodplain (outside) log - Alder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_xlchart.v1.63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_xlchart.v1.72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_xlchart.v1.64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_xlchart.v1.65</cx:f>
              <cx:v>Dic.21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_xlchart.v1.66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4EFA-43E6-9B3E-25029EB2FA37}" formatIdx="5">
          <cx:tx>
            <cx:txData>
              <cx:f>_xlchart.v1.67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4EFA-43E6-9B3E-25029EB2FA37}" formatIdx="6">
          <cx:tx>
            <cx:txData>
              <cx:f>_xlchart.v1.68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4EFA-43E6-9B3E-25029EB2FA37}" formatIdx="7">
          <cx:tx>
            <cx:txData>
              <cx:f>_xlchart.v1.69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3-4EFA-43E6-9B3E-25029EB2FA37}" formatIdx="8">
          <cx:tx>
            <cx:txData>
              <cx:f>_xlchart.v1.70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-70" min="-1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D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(‰)</a:t>
                </a:r>
                <a:endParaRPr lang="es-ES" sz="1600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_xlchart.v1.98</cx:f>
      </cx:numDim>
    </cx:data>
    <cx:data id="1">
      <cx:numDim type="val">
        <cx:f>_xlchart.v1.99</cx:f>
      </cx:numDim>
    </cx:data>
    <cx:data id="2">
      <cx:numDim type="val">
        <cx:f>_xlchart.v1.91</cx:f>
      </cx:numDim>
    </cx:data>
    <cx:data id="3">
      <cx:numDim type="val">
        <cx:f>_xlchart.v1.92</cx:f>
      </cx:numDim>
    </cx:data>
    <cx:data id="4">
      <cx:numDim type="val">
        <cx:f>_xlchart.v1.93</cx:f>
      </cx:numDim>
    </cx:data>
    <cx:data id="5">
      <cx:numDim type="val">
        <cx:f>_xlchart.v1.94</cx:f>
      </cx:numDim>
    </cx:data>
    <cx:data id="6">
      <cx:numDim type="val">
        <cx:f>_xlchart.v1.95</cx:f>
      </cx:numDim>
    </cx:data>
    <cx:data id="7">
      <cx:numDim type="val">
        <cx:f>_xlchart.v1.96</cx:f>
      </cx:numDim>
    </cx:data>
    <cx:data id="8">
      <cx:numDim type="val">
        <cx:f>_xlchart.v1.97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Floating (instream) log - </a:t>
            </a:r>
            <a:r>
              <a:rPr lang="es-ES" sz="1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Alder</a:t>
            </a: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1-E65E-46F2-83FB-417DCA5A6582}" formatIdx="0">
          <cx:tx>
            <cx:txData>
              <cx:f>_xlchart.v1.100</cx:f>
              <cx:v>Living</cx:v>
            </cx:txData>
          </cx:tx>
          <cx:spPr>
            <a:solidFill>
              <a:srgbClr val="003200">
                <a:alpha val="80000"/>
              </a:srgbClr>
            </a:solidFill>
            <a:ln w="9525" cap="flat" cmpd="sng" algn="ctr">
              <a:solidFill>
                <a:srgbClr val="003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0"/>
          <cx:layoutPr>
            <cx:statistics quartileMethod="exclusive"/>
          </cx:layoutPr>
        </cx:series>
        <cx:series layoutId="boxWhisker" uniqueId="{00000002-E65E-46F2-83FB-417DCA5A6582}" formatIdx="1">
          <cx:tx>
            <cx:txData>
              <cx:f>_xlchart.v1.107</cx:f>
              <cx:v>April.21</cx:v>
            </cx:txData>
          </cx:tx>
          <cx:spPr>
            <a:solidFill>
              <a:srgbClr val="004200">
                <a:alpha val="80000"/>
              </a:srgbClr>
            </a:solidFill>
            <a:ln w="9525" cap="flat" cmpd="sng" algn="ctr">
              <a:solidFill>
                <a:srgbClr val="004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1"/>
          <cx:layoutPr>
            <cx:statistics quartileMethod="exclusive"/>
          </cx:layoutPr>
        </cx:series>
        <cx:series layoutId="boxWhisker" uniqueId="{00000003-E65E-46F2-83FB-417DCA5A6582}" formatIdx="2">
          <cx:tx>
            <cx:txData>
              <cx:f>_xlchart.v1.101</cx:f>
              <cx:v>Sept.21</cx:v>
            </cx:txData>
          </cx:tx>
          <cx:spPr>
            <a:solidFill>
              <a:srgbClr val="005200">
                <a:alpha val="80000"/>
              </a:srgbClr>
            </a:solidFill>
            <a:ln w="9525" cap="flat" cmpd="sng" algn="ctr">
              <a:solidFill>
                <a:srgbClr val="005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2"/>
          <cx:layoutPr>
            <cx:statistics quartileMethod="exclusive"/>
          </cx:layoutPr>
        </cx:series>
        <cx:series layoutId="boxWhisker" uniqueId="{00000000-CFCD-45A4-B97B-206CF5D08048}" formatIdx="3">
          <cx:tx>
            <cx:txData>
              <cx:f>_xlchart.v1.102</cx:f>
              <cx:v>May.22</cx:v>
            </cx:txData>
          </cx:tx>
          <cx:spPr>
            <a:solidFill>
              <a:srgbClr val="006200">
                <a:alpha val="80000"/>
              </a:srgbClr>
            </a:solidFill>
            <a:ln w="9525" cap="flat" cmpd="sng" algn="ctr">
              <a:solidFill>
                <a:srgbClr val="0062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3"/>
          <cx:layoutPr>
            <cx:statistics quartileMethod="exclusive"/>
          </cx:layoutPr>
        </cx:series>
        <cx:series layoutId="boxWhisker" uniqueId="{00000001-CFCD-45A4-B97B-206CF5D08048}" formatIdx="4">
          <cx:tx>
            <cx:txData>
              <cx:f>_xlchart.v1.102</cx:f>
              <cx:v>May.22</cx:v>
            </cx:txData>
          </cx:tx>
          <cx:spPr>
            <a:solidFill>
              <a:srgbClr val="007300">
                <a:alpha val="80000"/>
              </a:srgbClr>
            </a:solidFill>
            <a:ln w="9525" cap="flat" cmpd="sng" algn="ctr">
              <a:solidFill>
                <a:srgbClr val="007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4"/>
          <cx:layoutPr>
            <cx:statistics quartileMethod="exclusive"/>
          </cx:layoutPr>
        </cx:series>
        <cx:series layoutId="boxWhisker" uniqueId="{00000000-857F-4677-92B7-4CDF3CACB46A}" formatIdx="5">
          <cx:tx>
            <cx:txData>
              <cx:f>_xlchart.v1.103</cx:f>
              <cx:v>Nov.22</cx:v>
            </cx:txData>
          </cx:tx>
          <cx:spPr>
            <a:solidFill>
              <a:srgbClr val="008300">
                <a:alpha val="80000"/>
              </a:srgbClr>
            </a:solidFill>
            <a:ln w="9525" cap="flat" cmpd="sng" algn="ctr">
              <a:solidFill>
                <a:srgbClr val="008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5"/>
          <cx:layoutPr>
            <cx:statistics quartileMethod="exclusive"/>
          </cx:layoutPr>
        </cx:series>
        <cx:series layoutId="boxWhisker" uniqueId="{00000001-857F-4677-92B7-4CDF3CACB46A}" formatIdx="6">
          <cx:tx>
            <cx:txData>
              <cx:f>_xlchart.v1.104</cx:f>
              <cx:v>May.23</cx:v>
            </cx:txData>
          </cx:tx>
          <cx:spPr>
            <a:solidFill>
              <a:srgbClr val="009300">
                <a:alpha val="80000"/>
              </a:srgbClr>
            </a:solidFill>
            <a:ln w="9525" cap="flat" cmpd="sng" algn="ctr">
              <a:solidFill>
                <a:srgbClr val="009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6"/>
          <cx:layoutPr>
            <cx:statistics quartileMethod="exclusive"/>
          </cx:layoutPr>
        </cx:series>
        <cx:series layoutId="boxWhisker" uniqueId="{00000002-857F-4677-92B7-4CDF3CACB46A}" formatIdx="7">
          <cx:tx>
            <cx:txData>
              <cx:f>_xlchart.v1.105</cx:f>
              <cx:v>Oct.23</cx:v>
            </cx:txData>
          </cx:tx>
          <cx:spPr>
            <a:solidFill>
              <a:srgbClr val="00A300">
                <a:alpha val="80000"/>
              </a:srgbClr>
            </a:solidFill>
            <a:ln w="9525" cap="flat" cmpd="sng" algn="ctr">
              <a:solidFill>
                <a:srgbClr val="00A3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7"/>
          <cx:layoutPr>
            <cx:statistics quartileMethod="exclusive"/>
          </cx:layoutPr>
        </cx:series>
        <cx:series layoutId="boxWhisker" uniqueId="{00000003-857F-4677-92B7-4CDF3CACB46A}" formatIdx="8">
          <cx:tx>
            <cx:txData>
              <cx:f>_xlchart.v1.106</cx:f>
              <cx:v>Feb.24</cx:v>
            </cx:txData>
          </cx:tx>
          <cx:spPr>
            <a:solidFill>
              <a:srgbClr val="00B400">
                <a:alpha val="80000"/>
              </a:srgbClr>
            </a:solidFill>
            <a:ln w="9525" cap="flat" cmpd="sng" algn="ctr">
              <a:solidFill>
                <a:srgbClr val="00B400">
                  <a:alpha val="80000"/>
                </a:srgbClr>
              </a:solidFill>
              <a:prstDash val="solid"/>
              <a:round/>
              <a:headEnd type="none" w="med" len="med"/>
              <a:tailEnd type="none" w="med" len="med"/>
            </a:ln>
          </cx:spPr>
          <cx:dataId val="8"/>
          <cx:layoutPr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-7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/>
                </a:pPr>
                <a:r>
                  <a:rPr lang="el-G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D</a:t>
                </a:r>
                <a:r>
                  <a:rPr lang="es-ES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(‰)</a:t>
                </a:r>
                <a:endParaRPr lang="es-ES" sz="1600">
                  <a:effectLst/>
                </a:endParaRPr>
              </a:p>
            </cx:rich>
          </cx:tx>
        </cx:title>
        <cx:majorGridlines>
          <cx:spPr>
            <a:ln>
              <a:solidFill>
                <a:schemeClr val="bg1">
                  <a:lumMod val="95000"/>
                </a:schemeClr>
              </a:solidFill>
              <a:prstDash val="lgDashDotDot"/>
            </a:ln>
          </cx:spPr>
        </cx:majorGridlines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190699</xdr:colOff>
      <xdr:row>51</xdr:row>
      <xdr:rowOff>126651</xdr:rowOff>
    </xdr:from>
    <xdr:to>
      <xdr:col>44</xdr:col>
      <xdr:colOff>245563</xdr:colOff>
      <xdr:row>72</xdr:row>
      <xdr:rowOff>128314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3">
              <a:extLst>
                <a:ext uri="{FF2B5EF4-FFF2-40B4-BE49-F238E27FC236}">
                  <a16:creationId xmlns:a16="http://schemas.microsoft.com/office/drawing/2014/main" id="{08B20201-720F-4EAB-AA5F-D2E45D4975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63659" y="8470551"/>
              <a:ext cx="5541264" cy="3362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472727</xdr:colOff>
      <xdr:row>52</xdr:row>
      <xdr:rowOff>14204</xdr:rowOff>
    </xdr:from>
    <xdr:to>
      <xdr:col>24</xdr:col>
      <xdr:colOff>527591</xdr:colOff>
      <xdr:row>73</xdr:row>
      <xdr:rowOff>15866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3">
              <a:extLst>
                <a:ext uri="{FF2B5EF4-FFF2-40B4-BE49-F238E27FC236}">
                  <a16:creationId xmlns:a16="http://schemas.microsoft.com/office/drawing/2014/main" id="{94C956DA-0931-4BE5-B641-95F6D75F2B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3687" y="8518124"/>
              <a:ext cx="5541264" cy="33620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530465</xdr:colOff>
      <xdr:row>29</xdr:row>
      <xdr:rowOff>152402</xdr:rowOff>
    </xdr:from>
    <xdr:to>
      <xdr:col>34</xdr:col>
      <xdr:colOff>106300</xdr:colOff>
      <xdr:row>50</xdr:row>
      <xdr:rowOff>138548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976FC64-3525-49A9-A080-663C922994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7825" y="4975862"/>
              <a:ext cx="5671835" cy="3346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245905</xdr:colOff>
      <xdr:row>29</xdr:row>
      <xdr:rowOff>125436</xdr:rowOff>
    </xdr:from>
    <xdr:to>
      <xdr:col>53</xdr:col>
      <xdr:colOff>380997</xdr:colOff>
      <xdr:row>50</xdr:row>
      <xdr:rowOff>127098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3">
              <a:extLst>
                <a:ext uri="{FF2B5EF4-FFF2-40B4-BE49-F238E27FC236}">
                  <a16:creationId xmlns:a16="http://schemas.microsoft.com/office/drawing/2014/main" id="{C12CDA47-A4AF-4249-9982-18434515BD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05265" y="4948896"/>
              <a:ext cx="5621492" cy="33620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39150</xdr:colOff>
      <xdr:row>52</xdr:row>
      <xdr:rowOff>32563</xdr:rowOff>
    </xdr:from>
    <xdr:to>
      <xdr:col>34</xdr:col>
      <xdr:colOff>94014</xdr:colOff>
      <xdr:row>73</xdr:row>
      <xdr:rowOff>34225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3">
              <a:extLst>
                <a:ext uri="{FF2B5EF4-FFF2-40B4-BE49-F238E27FC236}">
                  <a16:creationId xmlns:a16="http://schemas.microsoft.com/office/drawing/2014/main" id="{754FFF2F-80AA-4523-B31E-14D32B2EFC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16110" y="8536483"/>
              <a:ext cx="5541264" cy="33620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355626</xdr:colOff>
      <xdr:row>51</xdr:row>
      <xdr:rowOff>147406</xdr:rowOff>
    </xdr:from>
    <xdr:to>
      <xdr:col>53</xdr:col>
      <xdr:colOff>410490</xdr:colOff>
      <xdr:row>72</xdr:row>
      <xdr:rowOff>149069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3">
              <a:extLst>
                <a:ext uri="{FF2B5EF4-FFF2-40B4-BE49-F238E27FC236}">
                  <a16:creationId xmlns:a16="http://schemas.microsoft.com/office/drawing/2014/main" id="{A7B04A3D-86B6-40C1-B997-5EB027BE2D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4986" y="8491306"/>
              <a:ext cx="5541264" cy="3362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326571</xdr:colOff>
      <xdr:row>29</xdr:row>
      <xdr:rowOff>155459</xdr:rowOff>
    </xdr:from>
    <xdr:to>
      <xdr:col>24</xdr:col>
      <xdr:colOff>522514</xdr:colOff>
      <xdr:row>50</xdr:row>
      <xdr:rowOff>153683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3">
              <a:extLst>
                <a:ext uri="{FF2B5EF4-FFF2-40B4-BE49-F238E27FC236}">
                  <a16:creationId xmlns:a16="http://schemas.microsoft.com/office/drawing/2014/main" id="{32AAC944-9F62-4710-90D2-521B89485A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7531" y="4978919"/>
              <a:ext cx="5682343" cy="33586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81495</xdr:colOff>
      <xdr:row>29</xdr:row>
      <xdr:rowOff>158430</xdr:rowOff>
    </xdr:from>
    <xdr:to>
      <xdr:col>44</xdr:col>
      <xdr:colOff>239486</xdr:colOff>
      <xdr:row>50</xdr:row>
      <xdr:rowOff>155619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3">
              <a:extLst>
                <a:ext uri="{FF2B5EF4-FFF2-40B4-BE49-F238E27FC236}">
                  <a16:creationId xmlns:a16="http://schemas.microsoft.com/office/drawing/2014/main" id="{0F9CF19A-8B7B-41C9-8B0F-46BD7D8349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54455" y="4981890"/>
              <a:ext cx="5644391" cy="33576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46</xdr:col>
      <xdr:colOff>380574</xdr:colOff>
      <xdr:row>29</xdr:row>
      <xdr:rowOff>92529</xdr:rowOff>
    </xdr:from>
    <xdr:to>
      <xdr:col>46</xdr:col>
      <xdr:colOff>380574</xdr:colOff>
      <xdr:row>74</xdr:row>
      <xdr:rowOff>37111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7296D0C-AFE1-4FF9-ADA4-C3764C1A807B}"/>
            </a:ext>
          </a:extLst>
        </xdr:cNvPr>
        <xdr:cNvCxnSpPr/>
      </xdr:nvCxnSpPr>
      <xdr:spPr>
        <a:xfrm>
          <a:off x="26959134" y="4915989"/>
          <a:ext cx="0" cy="71454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402345</xdr:colOff>
      <xdr:row>30</xdr:row>
      <xdr:rowOff>157843</xdr:rowOff>
    </xdr:from>
    <xdr:to>
      <xdr:col>51</xdr:col>
      <xdr:colOff>402345</xdr:colOff>
      <xdr:row>75</xdr:row>
      <xdr:rowOff>102425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8F98C7D-B591-46A7-BBA0-EAF65BE7934C}"/>
            </a:ext>
          </a:extLst>
        </xdr:cNvPr>
        <xdr:cNvCxnSpPr/>
      </xdr:nvCxnSpPr>
      <xdr:spPr>
        <a:xfrm>
          <a:off x="30028905" y="5141323"/>
          <a:ext cx="0" cy="71454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217293</xdr:colOff>
      <xdr:row>28</xdr:row>
      <xdr:rowOff>157843</xdr:rowOff>
    </xdr:from>
    <xdr:to>
      <xdr:col>37</xdr:col>
      <xdr:colOff>217293</xdr:colOff>
      <xdr:row>73</xdr:row>
      <xdr:rowOff>102425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56C62F2-9F88-40AE-A1E4-1B27D5414CE9}"/>
            </a:ext>
          </a:extLst>
        </xdr:cNvPr>
        <xdr:cNvCxnSpPr/>
      </xdr:nvCxnSpPr>
      <xdr:spPr>
        <a:xfrm>
          <a:off x="21309453" y="4821283"/>
          <a:ext cx="0" cy="71454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239064</xdr:colOff>
      <xdr:row>30</xdr:row>
      <xdr:rowOff>59871</xdr:rowOff>
    </xdr:from>
    <xdr:to>
      <xdr:col>42</xdr:col>
      <xdr:colOff>239064</xdr:colOff>
      <xdr:row>75</xdr:row>
      <xdr:rowOff>4453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345E70A-1628-45EC-BE21-207C19EF52F8}"/>
            </a:ext>
          </a:extLst>
        </xdr:cNvPr>
        <xdr:cNvCxnSpPr/>
      </xdr:nvCxnSpPr>
      <xdr:spPr>
        <a:xfrm>
          <a:off x="24379224" y="5043351"/>
          <a:ext cx="0" cy="71454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513183</xdr:colOff>
      <xdr:row>28</xdr:row>
      <xdr:rowOff>115289</xdr:rowOff>
    </xdr:from>
    <xdr:to>
      <xdr:col>22</xdr:col>
      <xdr:colOff>513183</xdr:colOff>
      <xdr:row>73</xdr:row>
      <xdr:rowOff>59871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4246AD3-DE57-4379-90D8-AD86EE84ACF5}"/>
            </a:ext>
          </a:extLst>
        </xdr:cNvPr>
        <xdr:cNvCxnSpPr/>
      </xdr:nvCxnSpPr>
      <xdr:spPr>
        <a:xfrm>
          <a:off x="12461343" y="4778729"/>
          <a:ext cx="0" cy="71454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1555</xdr:colOff>
      <xdr:row>29</xdr:row>
      <xdr:rowOff>123205</xdr:rowOff>
    </xdr:from>
    <xdr:to>
      <xdr:col>27</xdr:col>
      <xdr:colOff>1555</xdr:colOff>
      <xdr:row>74</xdr:row>
      <xdr:rowOff>70757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700FB2E-21D0-468E-9F10-312EB68EFE8A}"/>
            </a:ext>
          </a:extLst>
        </xdr:cNvPr>
        <xdr:cNvCxnSpPr/>
      </xdr:nvCxnSpPr>
      <xdr:spPr>
        <a:xfrm>
          <a:off x="14997715" y="4946665"/>
          <a:ext cx="0" cy="71484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34212</xdr:colOff>
      <xdr:row>31</xdr:row>
      <xdr:rowOff>28203</xdr:rowOff>
    </xdr:from>
    <xdr:to>
      <xdr:col>32</xdr:col>
      <xdr:colOff>34212</xdr:colOff>
      <xdr:row>75</xdr:row>
      <xdr:rowOff>136070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70B90C2-AC84-4B26-81BC-DD5D24A21B46}"/>
            </a:ext>
          </a:extLst>
        </xdr:cNvPr>
        <xdr:cNvCxnSpPr/>
      </xdr:nvCxnSpPr>
      <xdr:spPr>
        <a:xfrm>
          <a:off x="18078372" y="5171703"/>
          <a:ext cx="0" cy="71487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57147</xdr:colOff>
      <xdr:row>1</xdr:row>
      <xdr:rowOff>119265</xdr:rowOff>
    </xdr:from>
    <xdr:to>
      <xdr:col>38</xdr:col>
      <xdr:colOff>87627</xdr:colOff>
      <xdr:row>45</xdr:row>
      <xdr:rowOff>100792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BC2DC94-926F-43AD-A0F6-732DB10C9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130923</xdr:colOff>
      <xdr:row>1</xdr:row>
      <xdr:rowOff>114300</xdr:rowOff>
    </xdr:from>
    <xdr:to>
      <xdr:col>54</xdr:col>
      <xdr:colOff>161403</xdr:colOff>
      <xdr:row>45</xdr:row>
      <xdr:rowOff>91576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003966-E08C-4CCA-8CB9-9DA5BCF40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delhoyo\PhD\Study%20cases\Genissiat\Arve-Valserine\Isotopes\JavierTheLastSorges%20-%20summary%202024%20Feb-MarchMACROS.xlsx" TargetMode="External"/><Relationship Id="rId1" Type="http://schemas.openxmlformats.org/officeDocument/2006/relationships/externalLinkPath" Target="/Users/jdelhoyo/PhD/Study%20cases/Genissiat/Arve-Valserine/Isotopes/JavierTheLastSorges%20-%20summary%202024%20Feb-MarchMAC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Sorges 2 NL No Legend"/>
      <sheetName val="OldSorges"/>
      <sheetName val="OldSorges 2"/>
      <sheetName val="Summary ALL - Javi"/>
      <sheetName val="LastSorges"/>
      <sheetName val="AllSorges 2 L"/>
      <sheetName val="Sheet1"/>
      <sheetName val="Sheet2"/>
      <sheetName val="AllSorges 2 NL"/>
      <sheetName val="AllSorgesMean"/>
      <sheetName val="AllSorges 2 NL No Legend Order2"/>
      <sheetName val="OldSorges (Correction-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I2">
            <v>23.842153989143974</v>
          </cell>
          <cell r="K2">
            <v>0.30397236976338304</v>
          </cell>
          <cell r="L2">
            <v>1.9230322849013377</v>
          </cell>
        </row>
        <row r="3">
          <cell r="K3">
            <v>0.54863076591115467</v>
          </cell>
          <cell r="L3">
            <v>1.8964765754988202</v>
          </cell>
        </row>
        <row r="4">
          <cell r="K4">
            <v>0.37422536740401885</v>
          </cell>
          <cell r="L4">
            <v>1.7132716258913603</v>
          </cell>
        </row>
        <row r="6">
          <cell r="K6">
            <v>0.22053446780150981</v>
          </cell>
          <cell r="L6">
            <v>1.2645644008648109</v>
          </cell>
        </row>
        <row r="7">
          <cell r="K7">
            <v>0.16037643856611361</v>
          </cell>
          <cell r="L7">
            <v>1.1705154073832733</v>
          </cell>
        </row>
        <row r="8">
          <cell r="K8">
            <v>0.23116484455682734</v>
          </cell>
          <cell r="L8">
            <v>0.90617656358420551</v>
          </cell>
        </row>
        <row r="10">
          <cell r="K10">
            <v>0.23328009703098626</v>
          </cell>
          <cell r="L10">
            <v>2.1413988849970931</v>
          </cell>
        </row>
        <row r="11">
          <cell r="K11">
            <v>0.27504668291963547</v>
          </cell>
          <cell r="L11">
            <v>1.1106258629244588</v>
          </cell>
        </row>
        <row r="12">
          <cell r="K12">
            <v>0.21822789378323867</v>
          </cell>
          <cell r="L12">
            <v>2.097430632085405</v>
          </cell>
        </row>
        <row r="14">
          <cell r="K14">
            <v>0.23328994479918388</v>
          </cell>
          <cell r="L14">
            <v>1.0997766943031118</v>
          </cell>
        </row>
        <row r="15">
          <cell r="K15">
            <v>0.14170982097331494</v>
          </cell>
          <cell r="L15">
            <v>1.0369367828204903</v>
          </cell>
        </row>
        <row r="16">
          <cell r="K16">
            <v>0.24685101718554531</v>
          </cell>
          <cell r="L16">
            <v>1.7294683159257969</v>
          </cell>
        </row>
        <row r="17">
          <cell r="K17">
            <v>0.2874452438661077</v>
          </cell>
          <cell r="L17">
            <v>2.1001479512490318</v>
          </cell>
        </row>
        <row r="18">
          <cell r="K18">
            <v>0.21885395811578007</v>
          </cell>
          <cell r="L18">
            <v>1.7929543500418066</v>
          </cell>
        </row>
        <row r="19">
          <cell r="K19">
            <v>0.20435134699429616</v>
          </cell>
          <cell r="L19">
            <v>0.74772615789087082</v>
          </cell>
        </row>
        <row r="20">
          <cell r="K20">
            <v>0.15130899107500775</v>
          </cell>
          <cell r="L20">
            <v>1.1597326411064495</v>
          </cell>
        </row>
        <row r="21">
          <cell r="K21">
            <v>0.13276324085320809</v>
          </cell>
          <cell r="L21">
            <v>1.1700964499810298</v>
          </cell>
        </row>
        <row r="22">
          <cell r="K22">
            <v>0.17355084807049825</v>
          </cell>
          <cell r="L22">
            <v>0.6778075675513684</v>
          </cell>
        </row>
        <row r="23">
          <cell r="K23">
            <v>0.30327790851775388</v>
          </cell>
          <cell r="L23">
            <v>1.4870187551349803</v>
          </cell>
        </row>
        <row r="24">
          <cell r="K24">
            <v>0.13376102064136311</v>
          </cell>
          <cell r="L24">
            <v>1.2082923680904059</v>
          </cell>
        </row>
        <row r="25">
          <cell r="K25">
            <v>0.21543841963769597</v>
          </cell>
          <cell r="L25">
            <v>2.7028186500165359</v>
          </cell>
        </row>
        <row r="26">
          <cell r="K26">
            <v>0.25923004851939718</v>
          </cell>
          <cell r="L26">
            <v>1.0027036879997966</v>
          </cell>
        </row>
        <row r="27">
          <cell r="K27">
            <v>0.23954594508100563</v>
          </cell>
          <cell r="L27">
            <v>0.73526080262113103</v>
          </cell>
        </row>
        <row r="28">
          <cell r="K28">
            <v>0.11419701048545754</v>
          </cell>
          <cell r="L28">
            <v>1.0982142416550005</v>
          </cell>
        </row>
        <row r="29">
          <cell r="K29">
            <v>0.11715627331112301</v>
          </cell>
          <cell r="L29">
            <v>2.9252879458245076</v>
          </cell>
        </row>
        <row r="30">
          <cell r="K30">
            <v>0.31093542262836876</v>
          </cell>
          <cell r="L30">
            <v>2.0434796904849648</v>
          </cell>
        </row>
        <row r="31">
          <cell r="K31">
            <v>0.11798330450732135</v>
          </cell>
          <cell r="L31">
            <v>0.84646666979525376</v>
          </cell>
        </row>
        <row r="32">
          <cell r="K32">
            <v>0.25989719803828149</v>
          </cell>
          <cell r="L32">
            <v>1.138808718889754</v>
          </cell>
        </row>
        <row r="33">
          <cell r="K33">
            <v>0.54815095887502485</v>
          </cell>
          <cell r="L33">
            <v>1.5421389861160402</v>
          </cell>
        </row>
        <row r="34">
          <cell r="K34">
            <v>0.56774863020965416</v>
          </cell>
          <cell r="L34">
            <v>3.9823025703763042</v>
          </cell>
        </row>
        <row r="35">
          <cell r="K35">
            <v>0.31845037132206894</v>
          </cell>
          <cell r="L35">
            <v>1.4752903957862116</v>
          </cell>
        </row>
        <row r="36">
          <cell r="K36">
            <v>0.23421969005887719</v>
          </cell>
          <cell r="L36">
            <v>1.4367347872971927</v>
          </cell>
        </row>
        <row r="37">
          <cell r="K37">
            <v>0.3479648565946909</v>
          </cell>
          <cell r="L37">
            <v>2.1639410141166016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9787-AA57-469E-8B92-02C855990C2F}">
  <sheetPr codeName="Sheet1"/>
  <dimension ref="A1:BC401"/>
  <sheetViews>
    <sheetView zoomScale="40" zoomScaleNormal="40" workbookViewId="0">
      <pane ySplit="1" topLeftCell="A2" activePane="bottomLeft" state="frozen"/>
      <selection pane="bottomLeft" activeCell="U19" sqref="U19"/>
    </sheetView>
  </sheetViews>
  <sheetFormatPr defaultRowHeight="14.4"/>
  <cols>
    <col min="1" max="1" width="18.109375" style="3" customWidth="1"/>
    <col min="2" max="7" width="8.88671875" style="3"/>
    <col min="10" max="10" width="16.44140625" style="3" customWidth="1"/>
    <col min="11" max="16384" width="8.88671875" style="3"/>
  </cols>
  <sheetData>
    <row r="1" spans="1:15" ht="15">
      <c r="A1" s="1" t="s">
        <v>0</v>
      </c>
      <c r="B1" s="2" t="s">
        <v>404</v>
      </c>
      <c r="C1" s="2" t="s">
        <v>405</v>
      </c>
      <c r="D1" s="2" t="s">
        <v>3</v>
      </c>
      <c r="E1" s="2" t="s">
        <v>5</v>
      </c>
      <c r="F1" s="2" t="s">
        <v>6</v>
      </c>
      <c r="G1" s="2" t="s">
        <v>4</v>
      </c>
      <c r="H1" s="3"/>
      <c r="I1" s="3"/>
      <c r="J1" s="1" t="s">
        <v>406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ht="12.6">
      <c r="A2" s="4" t="s">
        <v>11</v>
      </c>
      <c r="B2" s="45">
        <v>-98.797598654552672</v>
      </c>
      <c r="C2" s="45">
        <v>24.340407881497988</v>
      </c>
      <c r="D2" s="5" t="s">
        <v>12</v>
      </c>
      <c r="E2" s="5" t="s">
        <v>16</v>
      </c>
      <c r="F2" s="7">
        <v>0</v>
      </c>
      <c r="G2" s="6">
        <v>1</v>
      </c>
      <c r="H2" s="3"/>
      <c r="I2" s="3"/>
      <c r="J2" s="4" t="s">
        <v>14</v>
      </c>
      <c r="L2" s="8">
        <f>+AVERAGE(C2:C11)</f>
        <v>23.842153989143974</v>
      </c>
      <c r="M2" s="8">
        <f>+AVERAGE(B2:B11)</f>
        <v>-99.352843155039125</v>
      </c>
      <c r="N2" s="8">
        <f>+STDEV(C2:C11)/SQRT(COUNT(C2:C11))</f>
        <v>0.30397236976338304</v>
      </c>
      <c r="O2" s="8">
        <f>+STDEV(B2:B11)/SQRT(COUNT(B2:B11))</f>
        <v>1.9230322849013377</v>
      </c>
    </row>
    <row r="3" spans="1:15" ht="12.6">
      <c r="A3" s="4" t="s">
        <v>15</v>
      </c>
      <c r="B3" s="45">
        <v>-95.081829499272871</v>
      </c>
      <c r="C3" s="45">
        <v>22.504078543421492</v>
      </c>
      <c r="D3" s="5" t="s">
        <v>12</v>
      </c>
      <c r="E3" s="5" t="s">
        <v>16</v>
      </c>
      <c r="F3" s="7">
        <v>0</v>
      </c>
      <c r="G3" s="6">
        <v>2</v>
      </c>
      <c r="H3" s="3"/>
      <c r="I3" s="3"/>
      <c r="J3" s="4" t="s">
        <v>14</v>
      </c>
      <c r="L3" s="8"/>
      <c r="M3" s="8"/>
      <c r="N3" s="8"/>
      <c r="O3" s="8"/>
    </row>
    <row r="4" spans="1:15" ht="12.6">
      <c r="A4" s="4" t="s">
        <v>17</v>
      </c>
      <c r="B4" s="45">
        <v>-101.31613511111361</v>
      </c>
      <c r="C4" s="45">
        <v>23.972101600659983</v>
      </c>
      <c r="D4" s="5" t="s">
        <v>12</v>
      </c>
      <c r="E4" s="5" t="s">
        <v>16</v>
      </c>
      <c r="F4" s="7">
        <v>0</v>
      </c>
      <c r="G4" s="6">
        <v>3</v>
      </c>
      <c r="H4" s="3"/>
      <c r="I4" s="3"/>
      <c r="J4" s="4" t="s">
        <v>14</v>
      </c>
      <c r="L4" s="8"/>
      <c r="M4" s="8"/>
      <c r="N4" s="8"/>
      <c r="O4" s="8"/>
    </row>
    <row r="5" spans="1:15" ht="12.6">
      <c r="A5" s="4" t="s">
        <v>18</v>
      </c>
      <c r="B5" s="45">
        <v>-92.263189540730139</v>
      </c>
      <c r="C5" s="45">
        <v>23.965859121323746</v>
      </c>
      <c r="D5" s="5" t="s">
        <v>12</v>
      </c>
      <c r="E5" s="5" t="s">
        <v>16</v>
      </c>
      <c r="F5" s="7">
        <v>0</v>
      </c>
      <c r="G5" s="6">
        <v>4</v>
      </c>
      <c r="H5" s="3"/>
      <c r="I5" s="3"/>
      <c r="J5" s="4" t="s">
        <v>14</v>
      </c>
      <c r="L5" s="8"/>
      <c r="M5" s="8"/>
      <c r="N5" s="8"/>
      <c r="O5" s="8"/>
    </row>
    <row r="6" spans="1:15" ht="12.6">
      <c r="A6" s="4" t="s">
        <v>19</v>
      </c>
      <c r="B6" s="45">
        <v>-106.67558069067529</v>
      </c>
      <c r="C6" s="45">
        <v>22.63100895659165</v>
      </c>
      <c r="D6" s="5" t="s">
        <v>12</v>
      </c>
      <c r="E6" s="5" t="s">
        <v>16</v>
      </c>
      <c r="F6" s="7">
        <v>0</v>
      </c>
      <c r="G6" s="6">
        <v>5</v>
      </c>
      <c r="H6" s="3"/>
      <c r="I6" s="3"/>
      <c r="J6" s="4" t="s">
        <v>14</v>
      </c>
      <c r="L6" s="8"/>
      <c r="M6" s="8"/>
      <c r="N6" s="8"/>
      <c r="O6" s="8"/>
    </row>
    <row r="7" spans="1:15" ht="12.6">
      <c r="A7" s="4" t="s">
        <v>20</v>
      </c>
      <c r="B7" s="45">
        <v>-93.812487125166172</v>
      </c>
      <c r="C7" s="45">
        <v>23.944010443646917</v>
      </c>
      <c r="D7" s="5" t="s">
        <v>12</v>
      </c>
      <c r="E7" s="5" t="s">
        <v>16</v>
      </c>
      <c r="F7" s="7">
        <v>0</v>
      </c>
      <c r="G7" s="6">
        <v>6</v>
      </c>
      <c r="H7" s="3"/>
      <c r="I7" s="3"/>
      <c r="J7" s="4" t="s">
        <v>14</v>
      </c>
      <c r="L7" s="8"/>
      <c r="M7" s="8"/>
      <c r="N7" s="8"/>
      <c r="O7" s="8"/>
    </row>
    <row r="8" spans="1:15" ht="12.6">
      <c r="A8" s="4" t="s">
        <v>21</v>
      </c>
      <c r="B8" s="45">
        <v>-105.97251135564376</v>
      </c>
      <c r="C8" s="45">
        <v>24.425721765759903</v>
      </c>
      <c r="D8" s="5" t="s">
        <v>12</v>
      </c>
      <c r="E8" s="5" t="s">
        <v>16</v>
      </c>
      <c r="F8" s="7">
        <v>0</v>
      </c>
      <c r="G8" s="6">
        <v>7</v>
      </c>
      <c r="H8" s="3"/>
      <c r="I8" s="3"/>
      <c r="J8" s="4" t="s">
        <v>14</v>
      </c>
      <c r="L8" s="8"/>
      <c r="M8" s="8"/>
      <c r="N8" s="8"/>
      <c r="O8" s="8"/>
    </row>
    <row r="9" spans="1:15" ht="12.6">
      <c r="A9" s="4" t="s">
        <v>22</v>
      </c>
      <c r="B9" s="45">
        <v>-102.34475842179323</v>
      </c>
      <c r="C9" s="45">
        <v>22.777707220993229</v>
      </c>
      <c r="D9" s="5" t="s">
        <v>12</v>
      </c>
      <c r="E9" s="5" t="s">
        <v>16</v>
      </c>
      <c r="F9" s="7">
        <v>0</v>
      </c>
      <c r="G9" s="6">
        <v>8</v>
      </c>
      <c r="H9" s="3"/>
      <c r="I9" s="3"/>
      <c r="J9" s="4" t="s">
        <v>14</v>
      </c>
      <c r="L9" s="8"/>
      <c r="M9" s="8"/>
      <c r="N9" s="8"/>
      <c r="O9" s="8"/>
    </row>
    <row r="10" spans="1:15" ht="12.6">
      <c r="A10" s="4" t="s">
        <v>23</v>
      </c>
      <c r="B10" s="45">
        <v>-90.820996032973142</v>
      </c>
      <c r="C10" s="45">
        <v>25.610752426422295</v>
      </c>
      <c r="D10" s="5" t="s">
        <v>12</v>
      </c>
      <c r="E10" s="5" t="s">
        <v>16</v>
      </c>
      <c r="F10" s="7">
        <v>0</v>
      </c>
      <c r="G10" s="6">
        <v>9</v>
      </c>
      <c r="H10" s="3"/>
      <c r="I10" s="3"/>
      <c r="J10" s="4" t="s">
        <v>14</v>
      </c>
      <c r="L10" s="8"/>
      <c r="M10" s="8"/>
      <c r="N10" s="8"/>
      <c r="O10" s="8"/>
    </row>
    <row r="11" spans="1:15" ht="12.6">
      <c r="A11" s="4" t="s">
        <v>24</v>
      </c>
      <c r="B11" s="45">
        <v>-106.4433451184703</v>
      </c>
      <c r="C11" s="45">
        <v>24.249891931122548</v>
      </c>
      <c r="D11" s="5" t="s">
        <v>12</v>
      </c>
      <c r="E11" s="5" t="s">
        <v>16</v>
      </c>
      <c r="F11" s="7">
        <v>0</v>
      </c>
      <c r="G11" s="6">
        <v>10</v>
      </c>
      <c r="H11" s="3"/>
      <c r="I11" s="3"/>
      <c r="J11" s="4" t="s">
        <v>14</v>
      </c>
      <c r="L11" s="8"/>
      <c r="M11" s="8"/>
      <c r="N11" s="8"/>
      <c r="O11" s="8"/>
    </row>
    <row r="12" spans="1:15" ht="12.6">
      <c r="A12" s="4" t="s">
        <v>25</v>
      </c>
      <c r="B12" s="45">
        <v>-86.605761331992213</v>
      </c>
      <c r="C12" s="45">
        <v>25.678379285898203</v>
      </c>
      <c r="D12" s="5" t="s">
        <v>12</v>
      </c>
      <c r="E12" s="5" t="s">
        <v>26</v>
      </c>
      <c r="F12" s="7">
        <v>1</v>
      </c>
      <c r="G12" s="6">
        <v>1</v>
      </c>
      <c r="H12" s="3"/>
      <c r="I12" s="3"/>
      <c r="J12" s="4" t="s">
        <v>27</v>
      </c>
      <c r="L12" s="8">
        <f>+AVERAGE(C12:C21)</f>
        <v>23.269846204031339</v>
      </c>
      <c r="M12" s="8">
        <f>+AVERAGE(B12:B21)</f>
        <v>-81.694286192734936</v>
      </c>
      <c r="N12" s="8">
        <f t="shared" ref="N12" si="0">+STDEV(C12:C21)/SQRT(COUNT(C12:C21))</f>
        <v>0.54863076591115467</v>
      </c>
      <c r="O12" s="8">
        <f>+STDEV(B12:B21)/SQRT(COUNT(B12:B21))</f>
        <v>1.8964765754988202</v>
      </c>
    </row>
    <row r="13" spans="1:15" ht="12.6">
      <c r="A13" s="4" t="s">
        <v>28</v>
      </c>
      <c r="B13" s="45">
        <v>-83.321589792636743</v>
      </c>
      <c r="C13" s="45">
        <v>23.467501187647464</v>
      </c>
      <c r="D13" s="5" t="s">
        <v>12</v>
      </c>
      <c r="E13" s="5" t="s">
        <v>26</v>
      </c>
      <c r="F13" s="7">
        <v>1</v>
      </c>
      <c r="G13" s="6">
        <v>2</v>
      </c>
      <c r="H13" s="3"/>
      <c r="I13" s="3"/>
      <c r="J13" s="4" t="s">
        <v>27</v>
      </c>
      <c r="L13" s="8"/>
      <c r="M13" s="8"/>
      <c r="N13" s="8"/>
      <c r="O13" s="8"/>
    </row>
    <row r="14" spans="1:15" ht="12.6">
      <c r="A14" s="4" t="s">
        <v>29</v>
      </c>
      <c r="B14" s="45">
        <v>-77.061833707129708</v>
      </c>
      <c r="C14" s="45">
        <v>21.166107139021278</v>
      </c>
      <c r="D14" s="5" t="s">
        <v>12</v>
      </c>
      <c r="E14" s="5" t="s">
        <v>26</v>
      </c>
      <c r="F14" s="7">
        <v>1</v>
      </c>
      <c r="G14" s="6">
        <v>3</v>
      </c>
      <c r="H14" s="3"/>
      <c r="I14" s="3"/>
      <c r="J14" s="4" t="s">
        <v>27</v>
      </c>
      <c r="L14" s="8"/>
      <c r="M14" s="8"/>
      <c r="N14" s="8"/>
      <c r="O14" s="8"/>
    </row>
    <row r="15" spans="1:15" ht="12.6">
      <c r="A15" s="4" t="s">
        <v>30</v>
      </c>
      <c r="B15" s="45">
        <v>-73.535882667944392</v>
      </c>
      <c r="C15" s="45">
        <v>20.807164577187628</v>
      </c>
      <c r="D15" s="5" t="s">
        <v>12</v>
      </c>
      <c r="E15" s="5" t="s">
        <v>26</v>
      </c>
      <c r="F15" s="7">
        <v>1</v>
      </c>
      <c r="G15" s="6">
        <v>4</v>
      </c>
      <c r="H15" s="3"/>
      <c r="I15" s="3"/>
      <c r="J15" s="4" t="s">
        <v>27</v>
      </c>
      <c r="L15" s="8"/>
      <c r="M15" s="8"/>
      <c r="N15" s="8"/>
      <c r="O15" s="8"/>
    </row>
    <row r="16" spans="1:15" ht="12.6">
      <c r="A16" s="4" t="s">
        <v>31</v>
      </c>
      <c r="B16" s="45">
        <v>-83.537918818800293</v>
      </c>
      <c r="C16" s="45">
        <v>23.241731518320208</v>
      </c>
      <c r="D16" s="5" t="s">
        <v>12</v>
      </c>
      <c r="E16" s="5" t="s">
        <v>26</v>
      </c>
      <c r="F16" s="7">
        <v>1</v>
      </c>
      <c r="G16" s="6">
        <v>5</v>
      </c>
      <c r="H16" s="3"/>
      <c r="I16" s="3"/>
      <c r="J16" s="4" t="s">
        <v>27</v>
      </c>
      <c r="L16" s="8"/>
      <c r="M16" s="8"/>
      <c r="N16" s="8"/>
      <c r="O16" s="8"/>
    </row>
    <row r="17" spans="1:31" ht="12.6">
      <c r="A17" s="4" t="s">
        <v>32</v>
      </c>
      <c r="B17" s="45">
        <v>-74.877334717438956</v>
      </c>
      <c r="C17" s="45">
        <v>21.37106854389441</v>
      </c>
      <c r="D17" s="5" t="s">
        <v>12</v>
      </c>
      <c r="E17" s="5" t="s">
        <v>26</v>
      </c>
      <c r="F17" s="7">
        <v>1</v>
      </c>
      <c r="G17" s="6">
        <v>6</v>
      </c>
      <c r="H17" s="3"/>
      <c r="I17" s="3"/>
      <c r="J17" s="4" t="s">
        <v>27</v>
      </c>
      <c r="L17" s="8"/>
      <c r="M17" s="8"/>
      <c r="N17" s="8"/>
      <c r="O17" s="8"/>
    </row>
    <row r="18" spans="1:31" ht="12.6">
      <c r="A18" s="4" t="s">
        <v>33</v>
      </c>
      <c r="B18" s="45">
        <v>-76.683257911343489</v>
      </c>
      <c r="C18" s="45">
        <v>23.804595071804279</v>
      </c>
      <c r="D18" s="5" t="s">
        <v>12</v>
      </c>
      <c r="E18" s="5" t="s">
        <v>26</v>
      </c>
      <c r="F18" s="7">
        <v>1</v>
      </c>
      <c r="G18" s="6">
        <v>7</v>
      </c>
      <c r="H18" s="3"/>
      <c r="I18" s="3"/>
      <c r="J18" s="4" t="s">
        <v>27</v>
      </c>
      <c r="L18" s="8"/>
      <c r="M18" s="8"/>
      <c r="N18" s="8"/>
      <c r="O18" s="8"/>
    </row>
    <row r="19" spans="1:31" ht="12.6">
      <c r="A19" s="4" t="s">
        <v>34</v>
      </c>
      <c r="B19" s="45">
        <v>-86.112658404707645</v>
      </c>
      <c r="C19" s="45">
        <v>23.141851848940412</v>
      </c>
      <c r="D19" s="5" t="s">
        <v>12</v>
      </c>
      <c r="E19" s="5" t="s">
        <v>26</v>
      </c>
      <c r="F19" s="7">
        <v>1</v>
      </c>
      <c r="G19" s="6">
        <v>8</v>
      </c>
      <c r="H19" s="3"/>
      <c r="I19" s="3"/>
      <c r="J19" s="4" t="s">
        <v>27</v>
      </c>
      <c r="L19" s="8"/>
      <c r="M19" s="8"/>
      <c r="N19" s="8"/>
      <c r="O19" s="8"/>
    </row>
    <row r="20" spans="1:31" ht="12.6">
      <c r="A20" s="4" t="s">
        <v>35</v>
      </c>
      <c r="B20" s="45">
        <v>-82.88256912189307</v>
      </c>
      <c r="C20" s="45">
        <v>24.379943583960824</v>
      </c>
      <c r="D20" s="5" t="s">
        <v>12</v>
      </c>
      <c r="E20" s="5" t="s">
        <v>26</v>
      </c>
      <c r="F20" s="7">
        <v>1</v>
      </c>
      <c r="G20" s="6">
        <v>9</v>
      </c>
      <c r="H20" s="3"/>
      <c r="I20" s="3"/>
      <c r="J20" s="4" t="s">
        <v>27</v>
      </c>
      <c r="L20" s="8"/>
      <c r="M20" s="8"/>
      <c r="N20" s="8"/>
      <c r="O20" s="8"/>
    </row>
    <row r="21" spans="1:31" ht="12.6">
      <c r="A21" s="4" t="s">
        <v>36</v>
      </c>
      <c r="B21" s="45">
        <v>-92.324055453462876</v>
      </c>
      <c r="C21" s="54">
        <v>25.640119283638718</v>
      </c>
      <c r="D21" s="5" t="s">
        <v>12</v>
      </c>
      <c r="E21" s="5" t="s">
        <v>26</v>
      </c>
      <c r="F21" s="7">
        <v>1</v>
      </c>
      <c r="G21" s="6">
        <v>10</v>
      </c>
      <c r="H21" s="3"/>
      <c r="I21" s="3"/>
      <c r="J21" s="4" t="s">
        <v>27</v>
      </c>
      <c r="L21" s="8"/>
      <c r="M21" s="8"/>
      <c r="N21" s="8"/>
      <c r="O21" s="8"/>
    </row>
    <row r="22" spans="1:31" ht="12.6">
      <c r="A22" s="4" t="s">
        <v>37</v>
      </c>
      <c r="B22" s="45">
        <v>-91.113037081508097</v>
      </c>
      <c r="C22" s="54">
        <v>25.911667134765047</v>
      </c>
      <c r="D22" s="5" t="s">
        <v>12</v>
      </c>
      <c r="E22" s="9" t="s">
        <v>38</v>
      </c>
      <c r="F22" s="7">
        <v>1</v>
      </c>
      <c r="G22" s="6">
        <v>1</v>
      </c>
      <c r="H22" s="3"/>
      <c r="I22" s="3"/>
      <c r="J22" s="4" t="s">
        <v>39</v>
      </c>
      <c r="K22" s="3" t="s">
        <v>40</v>
      </c>
      <c r="L22" s="8">
        <f>+AVERAGE(C22:C31)</f>
        <v>23.857991798827172</v>
      </c>
      <c r="M22" s="8">
        <f>+AVERAGE(B22:B31)</f>
        <v>-87.182990497598354</v>
      </c>
      <c r="N22" s="8">
        <f t="shared" ref="N22" si="1">+STDEV(C22:C31)/SQRT(COUNT(C22:C31))</f>
        <v>0.37422536740401885</v>
      </c>
      <c r="O22" s="8">
        <f>+STDEV(B22:B31)/SQRT(COUNT(B22:B31))</f>
        <v>1.7132716258913603</v>
      </c>
    </row>
    <row r="23" spans="1:31" ht="12.6">
      <c r="A23" s="4" t="s">
        <v>41</v>
      </c>
      <c r="B23" s="45">
        <v>-88.372448378994534</v>
      </c>
      <c r="C23" s="45">
        <v>23.176185485289722</v>
      </c>
      <c r="D23" s="5" t="s">
        <v>12</v>
      </c>
      <c r="E23" s="9" t="s">
        <v>38</v>
      </c>
      <c r="F23" s="7">
        <v>1</v>
      </c>
      <c r="G23" s="6">
        <v>2</v>
      </c>
      <c r="H23" s="3"/>
      <c r="I23" s="3"/>
      <c r="J23" s="4" t="s">
        <v>39</v>
      </c>
      <c r="L23" s="8"/>
      <c r="M23" s="8"/>
      <c r="N23" s="8"/>
      <c r="O23" s="8"/>
    </row>
    <row r="24" spans="1:31" ht="12.6">
      <c r="A24" s="4" t="s">
        <v>42</v>
      </c>
      <c r="B24" s="45">
        <v>-85.417012124495443</v>
      </c>
      <c r="C24" s="45">
        <v>21.959942427946132</v>
      </c>
      <c r="D24" s="5" t="s">
        <v>12</v>
      </c>
      <c r="E24" s="9" t="s">
        <v>38</v>
      </c>
      <c r="F24" s="7">
        <v>1</v>
      </c>
      <c r="G24" s="6">
        <v>3</v>
      </c>
      <c r="H24" s="3"/>
      <c r="I24" s="3"/>
      <c r="J24" s="4" t="s">
        <v>39</v>
      </c>
      <c r="L24" s="8"/>
      <c r="M24" s="8"/>
      <c r="N24" s="8"/>
      <c r="O24" s="8"/>
    </row>
    <row r="25" spans="1:31" ht="12.6">
      <c r="A25" s="4" t="s">
        <v>43</v>
      </c>
      <c r="B25" s="45">
        <v>-78.793526352840857</v>
      </c>
      <c r="C25" s="45">
        <v>23.355136559595188</v>
      </c>
      <c r="D25" s="5" t="s">
        <v>12</v>
      </c>
      <c r="E25" s="9" t="s">
        <v>38</v>
      </c>
      <c r="F25" s="7">
        <v>1</v>
      </c>
      <c r="G25" s="6">
        <v>4</v>
      </c>
      <c r="H25" s="3"/>
      <c r="I25" s="3"/>
      <c r="J25" s="4" t="s">
        <v>39</v>
      </c>
      <c r="L25" s="8"/>
      <c r="M25" s="8"/>
      <c r="N25" s="8"/>
      <c r="O25" s="8"/>
    </row>
    <row r="26" spans="1:31" ht="12.6">
      <c r="A26" s="4" t="s">
        <v>44</v>
      </c>
      <c r="B26" s="45">
        <v>-79.038487161879004</v>
      </c>
      <c r="C26" s="45">
        <v>23.683907137970358</v>
      </c>
      <c r="D26" s="5" t="s">
        <v>12</v>
      </c>
      <c r="E26" s="9" t="s">
        <v>38</v>
      </c>
      <c r="F26" s="7">
        <v>1</v>
      </c>
      <c r="G26" s="6">
        <v>5</v>
      </c>
      <c r="H26" s="3"/>
      <c r="I26" s="3"/>
      <c r="J26" s="4" t="s">
        <v>39</v>
      </c>
      <c r="L26" s="8"/>
      <c r="M26" s="8"/>
      <c r="N26" s="8"/>
      <c r="O26" s="8"/>
      <c r="AE26" s="10"/>
    </row>
    <row r="27" spans="1:31" ht="12.6">
      <c r="A27" s="4" t="s">
        <v>45</v>
      </c>
      <c r="B27" s="45">
        <v>-85.361869431551796</v>
      </c>
      <c r="C27" s="45">
        <v>23.742170278441904</v>
      </c>
      <c r="D27" s="5" t="s">
        <v>12</v>
      </c>
      <c r="E27" s="9" t="s">
        <v>38</v>
      </c>
      <c r="F27" s="7">
        <v>1</v>
      </c>
      <c r="G27" s="6">
        <v>6</v>
      </c>
      <c r="H27" s="3"/>
      <c r="I27" s="3"/>
      <c r="J27" s="4" t="s">
        <v>39</v>
      </c>
      <c r="L27" s="8"/>
      <c r="M27" s="8"/>
      <c r="N27" s="8"/>
      <c r="O27" s="8"/>
    </row>
    <row r="28" spans="1:31" ht="12.6">
      <c r="A28" s="4" t="s">
        <v>46</v>
      </c>
      <c r="B28" s="45">
        <v>-85.165688697040721</v>
      </c>
      <c r="C28" s="45">
        <v>25.749127385042229</v>
      </c>
      <c r="D28" s="5" t="s">
        <v>12</v>
      </c>
      <c r="E28" s="9" t="s">
        <v>38</v>
      </c>
      <c r="F28" s="7">
        <v>1</v>
      </c>
      <c r="G28" s="6">
        <v>7</v>
      </c>
      <c r="H28" s="3"/>
      <c r="I28" s="3"/>
      <c r="J28" s="4" t="s">
        <v>39</v>
      </c>
      <c r="L28" s="8"/>
      <c r="M28" s="8"/>
      <c r="N28" s="8"/>
      <c r="O28" s="8"/>
    </row>
    <row r="29" spans="1:31" ht="12.6">
      <c r="A29" s="4" t="s">
        <v>47</v>
      </c>
      <c r="B29" s="45">
        <v>-91.318340705868764</v>
      </c>
      <c r="C29" s="45">
        <v>23.332247468695648</v>
      </c>
      <c r="D29" s="5" t="s">
        <v>12</v>
      </c>
      <c r="E29" s="9" t="s">
        <v>38</v>
      </c>
      <c r="F29" s="7">
        <v>1</v>
      </c>
      <c r="G29" s="6">
        <v>8</v>
      </c>
      <c r="H29" s="3"/>
      <c r="I29" s="3"/>
      <c r="J29" s="4" t="s">
        <v>39</v>
      </c>
      <c r="L29" s="8"/>
      <c r="M29" s="8"/>
      <c r="N29" s="8"/>
      <c r="O29" s="8"/>
    </row>
    <row r="30" spans="1:31" ht="12.6">
      <c r="A30" s="4" t="s">
        <v>48</v>
      </c>
      <c r="B30" s="45">
        <v>-93.588735044183267</v>
      </c>
      <c r="C30" s="45">
        <v>23.54449176612772</v>
      </c>
      <c r="D30" s="5" t="s">
        <v>12</v>
      </c>
      <c r="E30" s="9" t="s">
        <v>38</v>
      </c>
      <c r="F30" s="7">
        <v>1</v>
      </c>
      <c r="G30" s="6">
        <v>9</v>
      </c>
      <c r="H30" s="3"/>
      <c r="I30" s="3"/>
      <c r="J30" s="4" t="s">
        <v>39</v>
      </c>
      <c r="L30" s="8"/>
      <c r="M30" s="8"/>
      <c r="N30" s="8"/>
      <c r="O30" s="8"/>
    </row>
    <row r="31" spans="1:31" ht="12.6">
      <c r="A31" s="4" t="s">
        <v>49</v>
      </c>
      <c r="B31" s="45">
        <v>-93.660759997621</v>
      </c>
      <c r="C31" s="45">
        <v>24.125042344397798</v>
      </c>
      <c r="D31" s="5" t="s">
        <v>12</v>
      </c>
      <c r="E31" s="9" t="s">
        <v>38</v>
      </c>
      <c r="F31" s="11">
        <v>1</v>
      </c>
      <c r="G31" s="6">
        <v>10</v>
      </c>
      <c r="H31" s="3"/>
      <c r="I31" s="3"/>
      <c r="J31" s="4" t="s">
        <v>39</v>
      </c>
      <c r="L31" s="8"/>
      <c r="M31" s="8"/>
      <c r="N31" s="8"/>
      <c r="O31" s="8"/>
    </row>
    <row r="32" spans="1:31" ht="12.6">
      <c r="A32" s="4" t="s">
        <v>50</v>
      </c>
      <c r="B32" s="45">
        <v>-70.525724758276922</v>
      </c>
      <c r="C32" s="54">
        <v>22.852852260008731</v>
      </c>
      <c r="D32" s="5" t="s">
        <v>12</v>
      </c>
      <c r="E32" s="9" t="s">
        <v>51</v>
      </c>
      <c r="F32" s="11">
        <v>1</v>
      </c>
      <c r="G32" s="6">
        <v>1</v>
      </c>
      <c r="H32" s="3"/>
      <c r="I32" s="3"/>
      <c r="J32" s="4" t="s">
        <v>52</v>
      </c>
      <c r="L32" s="8">
        <f>+AVERAGE(C32:C41)</f>
        <v>24.526356928731701</v>
      </c>
      <c r="M32" s="8">
        <f>+AVERAGE(B32:B41)</f>
        <v>-81.840687219393061</v>
      </c>
      <c r="N32" s="8">
        <f t="shared" ref="N32" si="2">+STDEV(C32:C41)/SQRT(COUNT(C32:C41))</f>
        <v>0.8314026083411461</v>
      </c>
      <c r="O32" s="8">
        <f>+STDEV(B32:B41)/SQRT(COUNT(B32:B41))</f>
        <v>2.4044216320043375</v>
      </c>
    </row>
    <row r="33" spans="1:55" ht="12.6">
      <c r="A33" s="4" t="s">
        <v>53</v>
      </c>
      <c r="B33" s="45">
        <v>-82.11417376766552</v>
      </c>
      <c r="C33" s="54">
        <v>24.072216557020433</v>
      </c>
      <c r="D33" s="5" t="s">
        <v>12</v>
      </c>
      <c r="E33" s="9" t="s">
        <v>51</v>
      </c>
      <c r="F33" s="11">
        <v>1</v>
      </c>
      <c r="G33" s="6">
        <v>2</v>
      </c>
      <c r="H33" s="3"/>
      <c r="I33" s="3"/>
      <c r="J33" s="4" t="s">
        <v>52</v>
      </c>
      <c r="L33" s="8"/>
      <c r="M33" s="8"/>
      <c r="N33" s="8"/>
      <c r="O33" s="8"/>
    </row>
    <row r="34" spans="1:55" ht="12.6">
      <c r="A34" s="4" t="s">
        <v>54</v>
      </c>
      <c r="B34" s="45">
        <v>-78.485360397412251</v>
      </c>
      <c r="C34" s="54">
        <v>22.709275235275271</v>
      </c>
      <c r="D34" s="5" t="s">
        <v>12</v>
      </c>
      <c r="E34" s="9" t="s">
        <v>51</v>
      </c>
      <c r="F34" s="11">
        <v>1</v>
      </c>
      <c r="G34" s="6">
        <v>3</v>
      </c>
      <c r="H34" s="3"/>
      <c r="I34" s="3"/>
      <c r="J34" s="4" t="s">
        <v>52</v>
      </c>
      <c r="L34" s="8"/>
      <c r="M34" s="8"/>
      <c r="N34" s="8"/>
      <c r="O34" s="8"/>
    </row>
    <row r="35" spans="1:55" ht="12.6">
      <c r="A35" s="4" t="s">
        <v>55</v>
      </c>
      <c r="B35" s="45">
        <v>-71.029432049589104</v>
      </c>
      <c r="C35" s="54">
        <v>21.362980525093406</v>
      </c>
      <c r="D35" s="5" t="s">
        <v>12</v>
      </c>
      <c r="E35" s="9" t="s">
        <v>51</v>
      </c>
      <c r="F35" s="11">
        <v>1</v>
      </c>
      <c r="G35" s="6">
        <v>4</v>
      </c>
      <c r="H35" s="3"/>
      <c r="I35" s="3"/>
      <c r="J35" s="4" t="s">
        <v>52</v>
      </c>
      <c r="L35" s="8"/>
      <c r="M35" s="8"/>
      <c r="N35" s="8"/>
      <c r="O35" s="8"/>
    </row>
    <row r="36" spans="1:55" ht="12.6">
      <c r="A36" s="4" t="s">
        <v>56</v>
      </c>
      <c r="B36" s="45">
        <v>-84.498034801075619</v>
      </c>
      <c r="C36" s="54">
        <v>24.636120523727207</v>
      </c>
      <c r="D36" s="5" t="s">
        <v>12</v>
      </c>
      <c r="E36" s="9" t="s">
        <v>51</v>
      </c>
      <c r="F36" s="11">
        <v>1</v>
      </c>
      <c r="G36" s="6">
        <v>5</v>
      </c>
      <c r="H36" s="3"/>
      <c r="I36" s="3"/>
      <c r="J36" s="4" t="s">
        <v>52</v>
      </c>
      <c r="L36" s="8"/>
      <c r="M36" s="8"/>
      <c r="N36" s="8"/>
      <c r="O36" s="8"/>
      <c r="BC36" s="3" t="s">
        <v>57</v>
      </c>
    </row>
    <row r="37" spans="1:55" ht="12.6">
      <c r="A37" s="4" t="s">
        <v>58</v>
      </c>
      <c r="B37" s="45">
        <v>-80.881946667655498</v>
      </c>
      <c r="C37" s="54">
        <v>22.801872012096119</v>
      </c>
      <c r="D37" s="5" t="s">
        <v>12</v>
      </c>
      <c r="E37" s="9" t="s">
        <v>51</v>
      </c>
      <c r="F37" s="11">
        <v>1</v>
      </c>
      <c r="G37" s="6">
        <v>6</v>
      </c>
      <c r="H37" s="3"/>
      <c r="I37" s="3"/>
      <c r="J37" s="4" t="s">
        <v>52</v>
      </c>
      <c r="L37" s="8"/>
      <c r="M37" s="8"/>
      <c r="N37" s="8"/>
      <c r="O37" s="8"/>
    </row>
    <row r="38" spans="1:55" ht="12.6">
      <c r="A38" s="4" t="s">
        <v>59</v>
      </c>
      <c r="B38" s="45">
        <v>-80.28492097290021</v>
      </c>
      <c r="C38" s="54">
        <v>24.034761681003005</v>
      </c>
      <c r="D38" s="5" t="s">
        <v>12</v>
      </c>
      <c r="E38" s="9" t="s">
        <v>51</v>
      </c>
      <c r="F38" s="11">
        <v>1</v>
      </c>
      <c r="G38" s="6">
        <v>7</v>
      </c>
      <c r="H38" s="3"/>
      <c r="I38" s="3"/>
      <c r="J38" s="4" t="s">
        <v>52</v>
      </c>
      <c r="L38" s="8"/>
      <c r="M38" s="8"/>
      <c r="N38" s="8"/>
      <c r="O38" s="8"/>
    </row>
    <row r="39" spans="1:55" ht="12.6">
      <c r="A39" s="4" t="s">
        <v>60</v>
      </c>
      <c r="B39" s="45">
        <v>-91.35587701774071</v>
      </c>
      <c r="C39" s="54">
        <v>26.309104985838829</v>
      </c>
      <c r="D39" s="5" t="s">
        <v>12</v>
      </c>
      <c r="E39" s="9" t="s">
        <v>51</v>
      </c>
      <c r="F39" s="11">
        <v>1</v>
      </c>
      <c r="G39" s="6">
        <v>8</v>
      </c>
      <c r="H39" s="3"/>
      <c r="I39" s="3"/>
      <c r="J39" s="4" t="s">
        <v>52</v>
      </c>
      <c r="L39" s="8"/>
      <c r="M39" s="8"/>
      <c r="N39" s="8"/>
      <c r="O39" s="8"/>
    </row>
    <row r="40" spans="1:55" ht="12.6">
      <c r="A40" s="4" t="s">
        <v>61</v>
      </c>
      <c r="B40" s="45">
        <v>-85.020829947637537</v>
      </c>
      <c r="C40" s="54">
        <v>25.805544986049007</v>
      </c>
      <c r="D40" s="5" t="s">
        <v>12</v>
      </c>
      <c r="E40" s="9" t="s">
        <v>51</v>
      </c>
      <c r="F40" s="11">
        <v>1</v>
      </c>
      <c r="G40" s="6">
        <v>9</v>
      </c>
      <c r="H40" s="3"/>
      <c r="I40" s="3"/>
      <c r="J40" s="4" t="s">
        <v>52</v>
      </c>
      <c r="L40" s="8"/>
      <c r="M40" s="8"/>
      <c r="N40" s="8"/>
      <c r="O40" s="8"/>
    </row>
    <row r="41" spans="1:55" ht="12.6">
      <c r="A41" s="4" t="s">
        <v>62</v>
      </c>
      <c r="B41" s="45">
        <v>-94.210571813977367</v>
      </c>
      <c r="C41" s="54">
        <v>30.678840521204997</v>
      </c>
      <c r="D41" s="5" t="s">
        <v>12</v>
      </c>
      <c r="E41" s="9" t="s">
        <v>51</v>
      </c>
      <c r="F41" s="11">
        <v>1</v>
      </c>
      <c r="G41" s="6">
        <v>10</v>
      </c>
      <c r="H41" s="3"/>
      <c r="I41" s="3"/>
      <c r="J41" s="4" t="s">
        <v>52</v>
      </c>
      <c r="L41" s="8"/>
      <c r="M41" s="8"/>
      <c r="N41" s="8"/>
      <c r="O41" s="8"/>
    </row>
    <row r="42" spans="1:55" ht="12.6">
      <c r="A42" s="4" t="s">
        <v>63</v>
      </c>
      <c r="B42" s="45">
        <v>-110.09230678037606</v>
      </c>
      <c r="C42" s="45">
        <v>22.173227138600915</v>
      </c>
      <c r="D42" s="5" t="s">
        <v>64</v>
      </c>
      <c r="E42" s="5" t="s">
        <v>16</v>
      </c>
      <c r="F42" s="7">
        <v>0</v>
      </c>
      <c r="G42" s="6">
        <v>1</v>
      </c>
      <c r="H42" s="3"/>
      <c r="I42" s="3"/>
      <c r="J42" s="4" t="s">
        <v>66</v>
      </c>
      <c r="L42" s="8">
        <f>+AVERAGE(C42:C51)</f>
        <v>21.777870113972547</v>
      </c>
      <c r="M42" s="8">
        <f>+AVERAGE(B42:B51)</f>
        <v>-102.54453616787869</v>
      </c>
      <c r="N42" s="8">
        <f t="shared" ref="N42" si="3">+STDEV(C42:C51)/SQRT(COUNT(C42:C51))</f>
        <v>0.21776400792349368</v>
      </c>
      <c r="O42" s="8">
        <f>+STDEV(B42:B51)/SQRT(COUNT(B42:B51))</f>
        <v>1.1950999739189225</v>
      </c>
      <c r="P42" s="12"/>
    </row>
    <row r="43" spans="1:55" ht="12.6">
      <c r="A43" s="4" t="s">
        <v>67</v>
      </c>
      <c r="B43" s="45">
        <v>-97.564311118139884</v>
      </c>
      <c r="C43" s="45">
        <v>21.254542262951311</v>
      </c>
      <c r="D43" s="5" t="s">
        <v>64</v>
      </c>
      <c r="E43" s="5" t="s">
        <v>16</v>
      </c>
      <c r="F43" s="7">
        <v>0</v>
      </c>
      <c r="G43" s="6">
        <v>2</v>
      </c>
      <c r="H43" s="3"/>
      <c r="I43" s="3"/>
      <c r="J43" s="4" t="s">
        <v>66</v>
      </c>
      <c r="L43" s="8"/>
      <c r="M43" s="8"/>
      <c r="N43" s="8"/>
      <c r="O43" s="8"/>
      <c r="P43" s="12"/>
    </row>
    <row r="44" spans="1:55" ht="12.6">
      <c r="A44" s="4" t="s">
        <v>68</v>
      </c>
      <c r="B44" s="45">
        <v>-104.38821936991658</v>
      </c>
      <c r="C44" s="45">
        <v>22.36258234513344</v>
      </c>
      <c r="D44" s="5" t="s">
        <v>64</v>
      </c>
      <c r="E44" s="5" t="s">
        <v>16</v>
      </c>
      <c r="F44" s="7">
        <v>0</v>
      </c>
      <c r="G44" s="6">
        <v>3</v>
      </c>
      <c r="H44" s="3"/>
      <c r="I44" s="3"/>
      <c r="J44" s="4" t="s">
        <v>66</v>
      </c>
      <c r="L44" s="8"/>
      <c r="M44" s="8"/>
      <c r="N44" s="8"/>
      <c r="O44" s="8"/>
      <c r="P44" s="12"/>
    </row>
    <row r="45" spans="1:55" ht="12.6">
      <c r="A45" s="4" t="s">
        <v>69</v>
      </c>
      <c r="B45" s="45">
        <v>-100.43173115120969</v>
      </c>
      <c r="C45" s="45">
        <v>22.18987375016421</v>
      </c>
      <c r="D45" s="5" t="s">
        <v>64</v>
      </c>
      <c r="E45" s="5" t="s">
        <v>16</v>
      </c>
      <c r="F45" s="7">
        <v>0</v>
      </c>
      <c r="G45" s="6">
        <v>4</v>
      </c>
      <c r="H45" s="3"/>
      <c r="I45" s="3"/>
      <c r="J45" s="4" t="s">
        <v>66</v>
      </c>
      <c r="L45" s="8"/>
      <c r="M45" s="8"/>
      <c r="N45" s="8"/>
      <c r="O45" s="8"/>
      <c r="P45" s="12"/>
    </row>
    <row r="46" spans="1:55" ht="12.6">
      <c r="A46" s="4" t="s">
        <v>70</v>
      </c>
      <c r="B46" s="45">
        <v>-101.25781110896168</v>
      </c>
      <c r="C46" s="45">
        <v>22.211722427841046</v>
      </c>
      <c r="D46" s="5" t="s">
        <v>64</v>
      </c>
      <c r="E46" s="5" t="s">
        <v>16</v>
      </c>
      <c r="F46" s="7">
        <v>0</v>
      </c>
      <c r="G46" s="6">
        <v>5</v>
      </c>
      <c r="H46" s="3"/>
      <c r="I46" s="3"/>
      <c r="J46" s="4" t="s">
        <v>66</v>
      </c>
      <c r="L46" s="8"/>
      <c r="M46" s="8"/>
      <c r="N46" s="8"/>
      <c r="O46" s="8"/>
      <c r="P46" s="12"/>
    </row>
    <row r="47" spans="1:55" ht="12.6">
      <c r="A47" s="4" t="s">
        <v>71</v>
      </c>
      <c r="B47" s="45">
        <v>-104.20688474504419</v>
      </c>
      <c r="C47" s="45">
        <v>21.988033584959197</v>
      </c>
      <c r="D47" s="5" t="s">
        <v>64</v>
      </c>
      <c r="E47" s="5" t="s">
        <v>16</v>
      </c>
      <c r="F47" s="7">
        <v>0</v>
      </c>
      <c r="G47" s="6">
        <v>6</v>
      </c>
      <c r="H47" s="3"/>
      <c r="I47" s="3"/>
      <c r="J47" s="4" t="s">
        <v>66</v>
      </c>
      <c r="L47" s="8"/>
      <c r="M47" s="8"/>
      <c r="N47" s="8"/>
      <c r="O47" s="8"/>
      <c r="P47" s="12"/>
    </row>
    <row r="48" spans="1:55" ht="12.6">
      <c r="A48" s="4" t="s">
        <v>72</v>
      </c>
      <c r="B48" s="45">
        <v>-102.56320832076231</v>
      </c>
      <c r="C48" s="45">
        <v>21.908962180033527</v>
      </c>
      <c r="D48" s="5" t="s">
        <v>64</v>
      </c>
      <c r="E48" s="5" t="s">
        <v>16</v>
      </c>
      <c r="F48" s="7">
        <v>0</v>
      </c>
      <c r="G48" s="6">
        <v>7</v>
      </c>
      <c r="H48" s="3"/>
      <c r="I48" s="3"/>
      <c r="J48" s="4" t="s">
        <v>66</v>
      </c>
      <c r="L48" s="8"/>
      <c r="M48" s="8"/>
      <c r="N48" s="8"/>
      <c r="O48" s="8"/>
      <c r="P48" s="12"/>
    </row>
    <row r="49" spans="1:16" ht="12.6">
      <c r="A49" s="4" t="s">
        <v>73</v>
      </c>
      <c r="B49" s="45">
        <v>-97.497503624765855</v>
      </c>
      <c r="C49" s="45">
        <v>21.082874081204785</v>
      </c>
      <c r="D49" s="5" t="s">
        <v>64</v>
      </c>
      <c r="E49" s="5" t="s">
        <v>16</v>
      </c>
      <c r="F49" s="7">
        <v>0</v>
      </c>
      <c r="G49" s="6">
        <v>8</v>
      </c>
      <c r="H49" s="3"/>
      <c r="I49" s="3"/>
      <c r="J49" s="4" t="s">
        <v>66</v>
      </c>
      <c r="L49" s="8"/>
      <c r="M49" s="8"/>
      <c r="N49" s="8"/>
      <c r="O49" s="8"/>
      <c r="P49" s="12"/>
    </row>
    <row r="50" spans="1:16" ht="12.6">
      <c r="A50" s="4" t="s">
        <v>74</v>
      </c>
      <c r="B50" s="45">
        <v>-101.95451782557664</v>
      </c>
      <c r="C50" s="45">
        <v>22.338652841011204</v>
      </c>
      <c r="D50" s="5" t="s">
        <v>64</v>
      </c>
      <c r="E50" s="5" t="s">
        <v>16</v>
      </c>
      <c r="F50" s="7">
        <v>0</v>
      </c>
      <c r="G50" s="6">
        <v>9</v>
      </c>
      <c r="H50" s="3"/>
      <c r="I50" s="3"/>
      <c r="J50" s="4" t="s">
        <v>66</v>
      </c>
      <c r="L50" s="8"/>
      <c r="M50" s="8"/>
      <c r="N50" s="8"/>
      <c r="O50" s="8"/>
      <c r="P50" s="12"/>
    </row>
    <row r="51" spans="1:16" ht="12.6">
      <c r="A51" s="4" t="s">
        <v>75</v>
      </c>
      <c r="B51" s="45">
        <v>-105.48886763403399</v>
      </c>
      <c r="C51" s="45">
        <v>20.2682305278258</v>
      </c>
      <c r="D51" s="5" t="s">
        <v>64</v>
      </c>
      <c r="E51" s="5" t="s">
        <v>16</v>
      </c>
      <c r="F51" s="7">
        <v>0</v>
      </c>
      <c r="G51" s="6">
        <v>10</v>
      </c>
      <c r="H51" s="3"/>
      <c r="I51" s="3"/>
      <c r="J51" s="4" t="s">
        <v>66</v>
      </c>
      <c r="L51" s="8"/>
      <c r="M51" s="8"/>
      <c r="N51" s="8"/>
      <c r="O51" s="8"/>
    </row>
    <row r="52" spans="1:16" s="10" customFormat="1" ht="12.6">
      <c r="A52" s="13" t="s">
        <v>76</v>
      </c>
      <c r="B52" s="46">
        <v>-103.180760983971</v>
      </c>
      <c r="C52" s="55">
        <v>23.5903423419281</v>
      </c>
      <c r="D52" s="15" t="s">
        <v>64</v>
      </c>
      <c r="E52" s="14" t="s">
        <v>26</v>
      </c>
      <c r="F52" s="16">
        <v>1</v>
      </c>
      <c r="G52" s="6">
        <v>1</v>
      </c>
      <c r="J52" s="4" t="s">
        <v>77</v>
      </c>
      <c r="K52" s="17" t="s">
        <v>40</v>
      </c>
      <c r="L52" s="8">
        <f>+AVERAGE(C52:C61)</f>
        <v>23.147240334140797</v>
      </c>
      <c r="M52" s="8">
        <f>+AVERAGE(B52:B61)</f>
        <v>-100.86640089591623</v>
      </c>
      <c r="N52" s="8">
        <f t="shared" ref="N52" si="4">+STDEV(C52:C61)/SQRT(COUNT(C52:C61))</f>
        <v>0.16037643856611361</v>
      </c>
      <c r="O52" s="8">
        <f>+STDEV(B52:B61)/SQRT(COUNT(B52:B61))</f>
        <v>1.1705154073832733</v>
      </c>
      <c r="P52" s="12"/>
    </row>
    <row r="53" spans="1:16" ht="12.6">
      <c r="A53" s="4" t="s">
        <v>78</v>
      </c>
      <c r="B53" s="45">
        <v>-103.160612692318</v>
      </c>
      <c r="C53" s="54">
        <v>23.629000524147578</v>
      </c>
      <c r="D53" s="5" t="s">
        <v>64</v>
      </c>
      <c r="E53" s="9" t="s">
        <v>26</v>
      </c>
      <c r="F53" s="11">
        <v>1</v>
      </c>
      <c r="G53" s="6">
        <v>2</v>
      </c>
      <c r="H53" s="3"/>
      <c r="I53" s="3"/>
      <c r="J53" s="4" t="s">
        <v>77</v>
      </c>
      <c r="L53" s="8"/>
      <c r="M53" s="8"/>
      <c r="N53" s="8"/>
      <c r="O53" s="8"/>
      <c r="P53" s="12"/>
    </row>
    <row r="54" spans="1:16" ht="12.6">
      <c r="A54" s="4" t="s">
        <v>79</v>
      </c>
      <c r="B54" s="45">
        <v>-105.83083391544885</v>
      </c>
      <c r="C54" s="54">
        <v>23.695586970400775</v>
      </c>
      <c r="D54" s="5" t="s">
        <v>64</v>
      </c>
      <c r="E54" s="9" t="s">
        <v>26</v>
      </c>
      <c r="F54" s="11">
        <v>1</v>
      </c>
      <c r="G54" s="6">
        <v>3</v>
      </c>
      <c r="H54" s="3"/>
      <c r="I54" s="3"/>
      <c r="J54" s="4" t="s">
        <v>77</v>
      </c>
      <c r="L54" s="8"/>
      <c r="M54" s="8"/>
      <c r="N54" s="8"/>
      <c r="O54" s="8"/>
      <c r="P54" s="12"/>
    </row>
    <row r="55" spans="1:16" ht="12.6">
      <c r="A55" s="4" t="s">
        <v>80</v>
      </c>
      <c r="B55" s="45">
        <v>-98.159679338839695</v>
      </c>
      <c r="C55" s="54">
        <v>23.098226887588101</v>
      </c>
      <c r="D55" s="5" t="s">
        <v>64</v>
      </c>
      <c r="E55" s="9" t="s">
        <v>26</v>
      </c>
      <c r="F55" s="11">
        <v>1</v>
      </c>
      <c r="G55" s="6">
        <v>4</v>
      </c>
      <c r="H55" s="3"/>
      <c r="I55" s="3"/>
      <c r="J55" s="4" t="s">
        <v>77</v>
      </c>
      <c r="L55" s="8"/>
      <c r="M55" s="8"/>
      <c r="N55" s="8"/>
      <c r="O55" s="8"/>
      <c r="P55" s="12"/>
    </row>
    <row r="56" spans="1:16" ht="12.6">
      <c r="A56" s="4" t="s">
        <v>81</v>
      </c>
      <c r="B56" s="45">
        <v>-97.645367683499899</v>
      </c>
      <c r="C56" s="54">
        <v>22.748810937738106</v>
      </c>
      <c r="D56" s="5" t="s">
        <v>64</v>
      </c>
      <c r="E56" s="9" t="s">
        <v>26</v>
      </c>
      <c r="F56" s="11">
        <v>1</v>
      </c>
      <c r="G56" s="6">
        <v>5</v>
      </c>
      <c r="H56" s="3"/>
      <c r="I56" s="3"/>
      <c r="J56" s="4" t="s">
        <v>77</v>
      </c>
      <c r="L56" s="8"/>
      <c r="M56" s="8"/>
      <c r="N56" s="8"/>
      <c r="O56" s="8"/>
      <c r="P56" s="12"/>
    </row>
    <row r="57" spans="1:16" ht="12.6">
      <c r="A57" s="4" t="s">
        <v>82</v>
      </c>
      <c r="B57" s="45">
        <v>-95.886061330342116</v>
      </c>
      <c r="C57" s="54">
        <v>23.819233250923499</v>
      </c>
      <c r="D57" s="5" t="s">
        <v>64</v>
      </c>
      <c r="E57" s="9" t="s">
        <v>26</v>
      </c>
      <c r="F57" s="11">
        <v>1</v>
      </c>
      <c r="G57" s="6">
        <v>6</v>
      </c>
      <c r="H57" s="3"/>
      <c r="I57" s="3"/>
      <c r="J57" s="4" t="s">
        <v>77</v>
      </c>
      <c r="L57" s="8"/>
      <c r="M57" s="8"/>
      <c r="N57" s="8"/>
      <c r="O57" s="8"/>
      <c r="P57" s="12"/>
    </row>
    <row r="58" spans="1:16" ht="12.6">
      <c r="A58" s="4" t="s">
        <v>83</v>
      </c>
      <c r="B58" s="45">
        <v>-98.162818287073208</v>
      </c>
      <c r="C58" s="54">
        <v>22.440848623817068</v>
      </c>
      <c r="D58" s="5" t="s">
        <v>64</v>
      </c>
      <c r="E58" s="9" t="s">
        <v>26</v>
      </c>
      <c r="F58" s="11">
        <v>1</v>
      </c>
      <c r="G58" s="6">
        <v>7</v>
      </c>
      <c r="H58" s="3"/>
      <c r="I58" s="3"/>
      <c r="J58" s="4" t="s">
        <v>77</v>
      </c>
      <c r="L58" s="8"/>
      <c r="M58" s="8"/>
      <c r="N58" s="8"/>
      <c r="O58" s="8"/>
      <c r="P58" s="12"/>
    </row>
    <row r="59" spans="1:16" ht="12.6">
      <c r="A59" s="4" t="s">
        <v>84</v>
      </c>
      <c r="B59" s="45">
        <v>-97.83938518423065</v>
      </c>
      <c r="C59" s="54">
        <v>22.710315648497982</v>
      </c>
      <c r="D59" s="5" t="s">
        <v>64</v>
      </c>
      <c r="E59" s="9" t="s">
        <v>26</v>
      </c>
      <c r="F59" s="11">
        <v>1</v>
      </c>
      <c r="G59" s="6">
        <v>8</v>
      </c>
      <c r="H59" s="3"/>
      <c r="I59" s="3"/>
      <c r="J59" s="4" t="s">
        <v>77</v>
      </c>
      <c r="L59" s="8"/>
      <c r="M59" s="8"/>
      <c r="N59" s="8"/>
      <c r="O59" s="8"/>
      <c r="P59" s="12"/>
    </row>
    <row r="60" spans="1:16" ht="12.6">
      <c r="A60" s="4" t="s">
        <v>85</v>
      </c>
      <c r="B60" s="45">
        <v>-102.96659519158733</v>
      </c>
      <c r="C60" s="54">
        <v>22.615638045231712</v>
      </c>
      <c r="D60" s="5" t="s">
        <v>64</v>
      </c>
      <c r="E60" s="9" t="s">
        <v>26</v>
      </c>
      <c r="F60" s="11">
        <v>1</v>
      </c>
      <c r="G60" s="6">
        <v>9</v>
      </c>
      <c r="H60" s="3"/>
      <c r="I60" s="3"/>
      <c r="J60" s="4" t="s">
        <v>77</v>
      </c>
      <c r="L60" s="8"/>
      <c r="M60" s="8"/>
      <c r="N60" s="8"/>
      <c r="O60" s="8"/>
      <c r="P60" s="12"/>
    </row>
    <row r="61" spans="1:16" ht="12.6">
      <c r="A61" s="4" t="s">
        <v>86</v>
      </c>
      <c r="B61" s="45">
        <v>-105.8318943518516</v>
      </c>
      <c r="C61" s="54">
        <v>23.124400111135053</v>
      </c>
      <c r="D61" s="5" t="s">
        <v>64</v>
      </c>
      <c r="E61" s="9" t="s">
        <v>26</v>
      </c>
      <c r="F61" s="11">
        <v>1</v>
      </c>
      <c r="G61" s="6">
        <v>10</v>
      </c>
      <c r="H61" s="3"/>
      <c r="I61" s="3"/>
      <c r="J61" s="4" t="s">
        <v>77</v>
      </c>
      <c r="L61" s="8"/>
      <c r="M61" s="8"/>
      <c r="N61" s="8"/>
      <c r="O61" s="8"/>
      <c r="P61" s="12"/>
    </row>
    <row r="62" spans="1:16" s="10" customFormat="1" ht="12.6">
      <c r="A62" s="13" t="s">
        <v>87</v>
      </c>
      <c r="B62" s="46">
        <v>-104.72479874736756</v>
      </c>
      <c r="C62" s="55">
        <v>24.433239945299498</v>
      </c>
      <c r="D62" s="15" t="s">
        <v>64</v>
      </c>
      <c r="E62" s="14" t="s">
        <v>38</v>
      </c>
      <c r="F62" s="16">
        <v>1</v>
      </c>
      <c r="G62" s="6">
        <v>1</v>
      </c>
      <c r="J62" s="4" t="s">
        <v>88</v>
      </c>
      <c r="K62" s="10" t="s">
        <v>40</v>
      </c>
      <c r="L62" s="8">
        <f>+AVERAGE(C62:C71)</f>
        <v>23.746567218313384</v>
      </c>
      <c r="M62" s="8">
        <f>+AVERAGE(B62:B71)</f>
        <v>-99.239585410438252</v>
      </c>
      <c r="N62" s="8">
        <f t="shared" ref="N62" si="5">+STDEV(C62:C71)/SQRT(COUNT(C62:C71))</f>
        <v>0.23116484455682734</v>
      </c>
      <c r="O62" s="8">
        <f>+STDEV(B62:B71)/SQRT(COUNT(B62:B71))</f>
        <v>0.90617656358420551</v>
      </c>
    </row>
    <row r="63" spans="1:16" ht="12.6">
      <c r="A63" s="4" t="s">
        <v>89</v>
      </c>
      <c r="B63" s="45">
        <v>-99.856335222284926</v>
      </c>
      <c r="C63" s="54">
        <v>23.485423499414118</v>
      </c>
      <c r="D63" s="5" t="s">
        <v>64</v>
      </c>
      <c r="E63" s="9" t="s">
        <v>38</v>
      </c>
      <c r="F63" s="11">
        <v>1</v>
      </c>
      <c r="G63" s="6">
        <v>2</v>
      </c>
      <c r="H63" s="3"/>
      <c r="I63" s="3"/>
      <c r="J63" s="4" t="s">
        <v>88</v>
      </c>
      <c r="L63" s="8"/>
      <c r="M63" s="8"/>
      <c r="N63" s="8"/>
      <c r="O63" s="8"/>
    </row>
    <row r="64" spans="1:16" ht="12.6">
      <c r="A64" s="4" t="s">
        <v>90</v>
      </c>
      <c r="B64" s="45">
        <v>-101.02069439251815</v>
      </c>
      <c r="C64" s="54">
        <v>24.270935482557327</v>
      </c>
      <c r="D64" s="5" t="s">
        <v>64</v>
      </c>
      <c r="E64" s="9" t="s">
        <v>38</v>
      </c>
      <c r="F64" s="11">
        <v>1</v>
      </c>
      <c r="G64" s="6">
        <v>3</v>
      </c>
      <c r="H64" s="3"/>
      <c r="I64" s="3"/>
      <c r="J64" s="4" t="s">
        <v>88</v>
      </c>
      <c r="L64" s="8"/>
      <c r="M64" s="8"/>
      <c r="N64" s="8"/>
      <c r="O64" s="8"/>
    </row>
    <row r="65" spans="1:15" ht="12.6">
      <c r="A65" s="4" t="s">
        <v>91</v>
      </c>
      <c r="B65" s="45">
        <v>-99.751352018411438</v>
      </c>
      <c r="C65" s="54">
        <v>25.134478457403496</v>
      </c>
      <c r="D65" s="5" t="s">
        <v>64</v>
      </c>
      <c r="E65" s="9" t="s">
        <v>38</v>
      </c>
      <c r="F65" s="11">
        <v>1</v>
      </c>
      <c r="G65" s="6">
        <v>4</v>
      </c>
      <c r="H65" s="3"/>
      <c r="I65" s="3"/>
      <c r="J65" s="4" t="s">
        <v>88</v>
      </c>
      <c r="L65" s="8"/>
      <c r="M65" s="8"/>
      <c r="N65" s="8"/>
      <c r="O65" s="8"/>
    </row>
    <row r="66" spans="1:15" ht="12.6">
      <c r="A66" s="4" t="s">
        <v>92</v>
      </c>
      <c r="B66" s="45">
        <v>-99.648489687343471</v>
      </c>
      <c r="C66" s="54">
        <v>23.732001433195499</v>
      </c>
      <c r="D66" s="5" t="s">
        <v>64</v>
      </c>
      <c r="E66" s="9" t="s">
        <v>38</v>
      </c>
      <c r="F66" s="11">
        <v>1</v>
      </c>
      <c r="G66" s="6">
        <v>5</v>
      </c>
      <c r="H66" s="3"/>
      <c r="I66" s="3"/>
      <c r="J66" s="4" t="s">
        <v>88</v>
      </c>
      <c r="L66" s="8"/>
      <c r="M66" s="8"/>
      <c r="N66" s="8"/>
      <c r="O66" s="8"/>
    </row>
    <row r="67" spans="1:15" ht="12.6">
      <c r="A67" s="4" t="s">
        <v>93</v>
      </c>
      <c r="B67" s="45">
        <v>-101.21051250861264</v>
      </c>
      <c r="C67" s="54">
        <v>23.514555069649894</v>
      </c>
      <c r="D67" s="5" t="s">
        <v>64</v>
      </c>
      <c r="E67" s="9" t="s">
        <v>38</v>
      </c>
      <c r="F67" s="11">
        <v>1</v>
      </c>
      <c r="G67" s="6">
        <v>6</v>
      </c>
      <c r="H67" s="3"/>
      <c r="I67" s="3"/>
      <c r="J67" s="4" t="s">
        <v>88</v>
      </c>
      <c r="L67" s="8"/>
      <c r="M67" s="8"/>
      <c r="N67" s="8"/>
      <c r="O67" s="8"/>
    </row>
    <row r="68" spans="1:15" ht="12.6">
      <c r="A68" s="4" t="s">
        <v>94</v>
      </c>
      <c r="B68" s="45">
        <v>-94.794872271899493</v>
      </c>
      <c r="C68" s="54">
        <v>23.667495813387703</v>
      </c>
      <c r="D68" s="5" t="s">
        <v>64</v>
      </c>
      <c r="E68" s="9" t="s">
        <v>38</v>
      </c>
      <c r="F68" s="11">
        <v>1</v>
      </c>
      <c r="G68" s="6">
        <v>7</v>
      </c>
      <c r="H68" s="3"/>
      <c r="I68" s="3"/>
      <c r="J68" s="4" t="s">
        <v>88</v>
      </c>
      <c r="L68" s="8"/>
      <c r="M68" s="8"/>
      <c r="N68" s="8"/>
      <c r="O68" s="8"/>
    </row>
    <row r="69" spans="1:15" ht="12.6">
      <c r="A69" s="4" t="s">
        <v>95</v>
      </c>
      <c r="B69" s="45">
        <v>-96.486268334305691</v>
      </c>
      <c r="C69" s="54">
        <v>22.840367301336258</v>
      </c>
      <c r="D69" s="5" t="s">
        <v>64</v>
      </c>
      <c r="E69" s="9" t="s">
        <v>38</v>
      </c>
      <c r="F69" s="11">
        <v>1</v>
      </c>
      <c r="G69" s="6">
        <v>8</v>
      </c>
      <c r="H69" s="3"/>
      <c r="I69" s="3"/>
      <c r="J69" s="4" t="s">
        <v>88</v>
      </c>
      <c r="L69" s="8"/>
      <c r="M69" s="8"/>
      <c r="N69" s="8"/>
      <c r="O69" s="8"/>
    </row>
    <row r="70" spans="1:15" ht="12.6">
      <c r="A70" s="4" t="s">
        <v>96</v>
      </c>
      <c r="B70" s="45">
        <v>-96.398252112876392</v>
      </c>
      <c r="C70" s="54">
        <v>23.729920606750085</v>
      </c>
      <c r="D70" s="5" t="s">
        <v>64</v>
      </c>
      <c r="E70" s="9" t="s">
        <v>38</v>
      </c>
      <c r="F70" s="11">
        <v>1</v>
      </c>
      <c r="G70" s="6">
        <v>9</v>
      </c>
      <c r="H70" s="3"/>
      <c r="I70" s="3"/>
      <c r="J70" s="4" t="s">
        <v>88</v>
      </c>
      <c r="L70" s="8"/>
      <c r="M70" s="8"/>
      <c r="N70" s="8"/>
      <c r="O70" s="8"/>
    </row>
    <row r="71" spans="1:15" ht="12.6">
      <c r="A71" s="4" t="s">
        <v>97</v>
      </c>
      <c r="B71" s="45">
        <v>-98.504278808762734</v>
      </c>
      <c r="C71" s="54">
        <v>22.657254574139962</v>
      </c>
      <c r="D71" s="5" t="s">
        <v>64</v>
      </c>
      <c r="E71" s="9" t="s">
        <v>38</v>
      </c>
      <c r="F71" s="11">
        <v>1</v>
      </c>
      <c r="G71" s="6">
        <v>10</v>
      </c>
      <c r="H71" s="3"/>
      <c r="I71" s="3"/>
      <c r="J71" s="4" t="s">
        <v>88</v>
      </c>
      <c r="L71" s="8"/>
      <c r="M71" s="8"/>
      <c r="N71" s="8"/>
      <c r="O71" s="8"/>
    </row>
    <row r="72" spans="1:15" s="10" customFormat="1" ht="12.6">
      <c r="A72" s="13" t="s">
        <v>98</v>
      </c>
      <c r="B72" s="46">
        <v>-103.0153752661144</v>
      </c>
      <c r="C72" s="55">
        <v>23.612353912584275</v>
      </c>
      <c r="D72" s="15" t="s">
        <v>64</v>
      </c>
      <c r="E72" s="14" t="s">
        <v>51</v>
      </c>
      <c r="F72" s="16">
        <v>1</v>
      </c>
      <c r="G72" s="6">
        <v>1</v>
      </c>
      <c r="J72" s="4" t="s">
        <v>99</v>
      </c>
      <c r="L72" s="8">
        <f>+AVERAGE(C72:C81)</f>
        <v>22.705217623706716</v>
      </c>
      <c r="M72" s="8">
        <f>+AVERAGE(B72:B81)</f>
        <v>-102.24486217586717</v>
      </c>
      <c r="N72" s="8">
        <f t="shared" ref="N72" si="6">+STDEV(C72:C81)/SQRT(COUNT(C72:C81))</f>
        <v>0.2513410697508956</v>
      </c>
      <c r="O72" s="8">
        <f>+STDEV(B72:B81)/SQRT(COUNT(B72:B81))</f>
        <v>1.0934326899553017</v>
      </c>
    </row>
    <row r="73" spans="1:15" ht="12.6">
      <c r="A73" s="4" t="s">
        <v>100</v>
      </c>
      <c r="B73" s="45">
        <v>-102.74178267420167</v>
      </c>
      <c r="C73" s="54">
        <v>22.956893582279349</v>
      </c>
      <c r="D73" s="5" t="s">
        <v>64</v>
      </c>
      <c r="E73" s="9" t="s">
        <v>51</v>
      </c>
      <c r="F73" s="11">
        <v>1</v>
      </c>
      <c r="G73" s="6">
        <v>2</v>
      </c>
      <c r="H73" s="3"/>
      <c r="I73" s="3"/>
      <c r="J73" s="4" t="s">
        <v>99</v>
      </c>
      <c r="L73" s="8"/>
      <c r="M73" s="8"/>
      <c r="N73" s="8"/>
      <c r="O73" s="8"/>
    </row>
    <row r="74" spans="1:15" ht="12.6">
      <c r="A74" s="4" t="s">
        <v>101</v>
      </c>
      <c r="B74" s="45">
        <v>-101.13416108761373</v>
      </c>
      <c r="C74" s="54">
        <v>23.266936722645809</v>
      </c>
      <c r="D74" s="5" t="s">
        <v>64</v>
      </c>
      <c r="E74" s="9" t="s">
        <v>51</v>
      </c>
      <c r="F74" s="11">
        <v>1</v>
      </c>
      <c r="G74" s="6">
        <v>3</v>
      </c>
      <c r="H74" s="3"/>
      <c r="I74" s="3"/>
      <c r="J74" s="4" t="s">
        <v>99</v>
      </c>
      <c r="L74" s="8"/>
      <c r="M74" s="8"/>
      <c r="N74" s="8"/>
      <c r="O74" s="8"/>
    </row>
    <row r="75" spans="1:15" ht="12.6">
      <c r="A75" s="4" t="s">
        <v>102</v>
      </c>
      <c r="B75" s="45">
        <v>-98.900882023395894</v>
      </c>
      <c r="C75" s="54">
        <v>23.194107797056375</v>
      </c>
      <c r="D75" s="5" t="s">
        <v>64</v>
      </c>
      <c r="E75" s="9" t="s">
        <v>51</v>
      </c>
      <c r="F75" s="11">
        <v>1</v>
      </c>
      <c r="G75" s="6">
        <v>4</v>
      </c>
      <c r="H75" s="3"/>
      <c r="I75" s="3"/>
      <c r="J75" s="4" t="s">
        <v>99</v>
      </c>
      <c r="L75" s="8"/>
      <c r="M75" s="8"/>
      <c r="N75" s="8"/>
      <c r="O75" s="8"/>
    </row>
    <row r="76" spans="1:15" ht="12.6">
      <c r="A76" s="4" t="s">
        <v>103</v>
      </c>
      <c r="B76" s="45">
        <v>-99.415193678735704</v>
      </c>
      <c r="C76" s="54">
        <v>23.803789945562222</v>
      </c>
      <c r="D76" s="5" t="s">
        <v>64</v>
      </c>
      <c r="E76" s="9" t="s">
        <v>51</v>
      </c>
      <c r="F76" s="11">
        <v>1</v>
      </c>
      <c r="G76" s="6">
        <v>5</v>
      </c>
      <c r="H76" s="3"/>
      <c r="I76" s="3"/>
      <c r="J76" s="4" t="s">
        <v>99</v>
      </c>
      <c r="L76" s="8"/>
      <c r="M76" s="8"/>
      <c r="N76" s="8"/>
      <c r="O76" s="8"/>
    </row>
    <row r="77" spans="1:15" ht="12.6">
      <c r="A77" s="4" t="s">
        <v>104</v>
      </c>
      <c r="B77" s="45">
        <v>-110.24861196935743</v>
      </c>
      <c r="C77" s="54">
        <v>21.763539615835306</v>
      </c>
      <c r="D77" s="5" t="s">
        <v>64</v>
      </c>
      <c r="E77" s="9" t="s">
        <v>51</v>
      </c>
      <c r="F77" s="11">
        <v>1</v>
      </c>
      <c r="G77" s="6">
        <v>6</v>
      </c>
      <c r="H77" s="3"/>
      <c r="I77" s="3"/>
      <c r="J77" s="4" t="s">
        <v>99</v>
      </c>
      <c r="L77" s="8"/>
      <c r="M77" s="8"/>
      <c r="N77" s="8"/>
      <c r="O77" s="8"/>
    </row>
    <row r="78" spans="1:15" ht="12.6">
      <c r="A78" s="4" t="s">
        <v>105</v>
      </c>
      <c r="B78" s="45">
        <v>-98.389751677264371</v>
      </c>
      <c r="C78" s="54">
        <v>22.612516805563594</v>
      </c>
      <c r="D78" s="5" t="s">
        <v>64</v>
      </c>
      <c r="E78" s="9" t="s">
        <v>51</v>
      </c>
      <c r="F78" s="11">
        <v>1</v>
      </c>
      <c r="G78" s="6">
        <v>7</v>
      </c>
      <c r="H78" s="3"/>
      <c r="I78" s="3"/>
      <c r="J78" s="4" t="s">
        <v>99</v>
      </c>
      <c r="L78" s="8"/>
      <c r="M78" s="8"/>
      <c r="N78" s="8"/>
      <c r="O78" s="8"/>
    </row>
    <row r="79" spans="1:15" ht="12.6">
      <c r="A79" s="4" t="s">
        <v>106</v>
      </c>
      <c r="B79" s="45">
        <v>-104.40454695373329</v>
      </c>
      <c r="C79" s="54">
        <v>21.427486144901195</v>
      </c>
      <c r="D79" s="5" t="s">
        <v>64</v>
      </c>
      <c r="E79" s="9" t="s">
        <v>51</v>
      </c>
      <c r="F79" s="11">
        <v>1</v>
      </c>
      <c r="G79" s="6">
        <v>8</v>
      </c>
      <c r="H79" s="3"/>
      <c r="I79" s="3"/>
      <c r="J79" s="4" t="s">
        <v>99</v>
      </c>
      <c r="L79" s="8"/>
      <c r="M79" s="8"/>
      <c r="N79" s="8"/>
      <c r="O79" s="8"/>
    </row>
    <row r="80" spans="1:15" ht="12.6">
      <c r="A80" s="4" t="s">
        <v>107</v>
      </c>
      <c r="B80" s="45">
        <v>-103.26351738436082</v>
      </c>
      <c r="C80" s="54">
        <v>22.123522590891668</v>
      </c>
      <c r="D80" s="5" t="s">
        <v>64</v>
      </c>
      <c r="E80" s="9" t="s">
        <v>51</v>
      </c>
      <c r="F80" s="11">
        <v>1</v>
      </c>
      <c r="G80" s="6">
        <v>9</v>
      </c>
      <c r="H80" s="3"/>
      <c r="I80" s="3"/>
      <c r="J80" s="4" t="s">
        <v>99</v>
      </c>
      <c r="L80" s="8"/>
      <c r="M80" s="8"/>
      <c r="N80" s="8"/>
      <c r="O80" s="8"/>
    </row>
    <row r="81" spans="1:33" ht="12.6">
      <c r="A81" s="4" t="s">
        <v>108</v>
      </c>
      <c r="B81" s="45">
        <v>-100.93479904389439</v>
      </c>
      <c r="C81" s="54">
        <v>22.291029119747364</v>
      </c>
      <c r="D81" s="5" t="s">
        <v>64</v>
      </c>
      <c r="E81" s="9" t="s">
        <v>51</v>
      </c>
      <c r="F81" s="11">
        <v>1</v>
      </c>
      <c r="G81" s="6">
        <v>10</v>
      </c>
      <c r="H81" s="3"/>
      <c r="I81" s="3"/>
      <c r="J81" s="4" t="s">
        <v>99</v>
      </c>
      <c r="L81" s="8"/>
      <c r="M81" s="8"/>
      <c r="N81" s="8"/>
      <c r="O81" s="8"/>
      <c r="AF81" s="3">
        <v>1500</v>
      </c>
      <c r="AG81" s="18" t="s">
        <v>109</v>
      </c>
    </row>
    <row r="82" spans="1:33" ht="13.8">
      <c r="A82" s="19" t="s">
        <v>110</v>
      </c>
      <c r="B82" s="47">
        <v>-86.389374757900796</v>
      </c>
      <c r="C82" s="47">
        <v>21.869361526603118</v>
      </c>
      <c r="D82" s="20" t="s">
        <v>12</v>
      </c>
      <c r="E82" s="20" t="s">
        <v>26</v>
      </c>
      <c r="F82" s="21">
        <v>2</v>
      </c>
      <c r="G82" s="6">
        <v>1</v>
      </c>
      <c r="H82" s="3"/>
      <c r="I82" s="3"/>
      <c r="K82" s="3" t="s">
        <v>111</v>
      </c>
      <c r="L82" s="8">
        <f>+AVERAGE(C82:C91)</f>
        <v>21.820677772843432</v>
      </c>
      <c r="M82" s="8">
        <f>+AVERAGE(B82:B91)</f>
        <v>-90.372491155766994</v>
      </c>
      <c r="N82" s="8">
        <f t="shared" ref="N82" si="7">+STDEV(C82:C91)/SQRT(COUNT(C82:C91))</f>
        <v>0.23328009703098626</v>
      </c>
      <c r="O82" s="8">
        <f>+STDEV(B82:B91)/SQRT(COUNT(B82:B91))</f>
        <v>2.1413988849970931</v>
      </c>
      <c r="AF82" s="3">
        <v>1500</v>
      </c>
    </row>
    <row r="83" spans="1:33" ht="13.8">
      <c r="A83" s="19" t="s">
        <v>112</v>
      </c>
      <c r="B83" s="47">
        <v>-94.424204165062548</v>
      </c>
      <c r="C83" s="47">
        <v>22.046483313655646</v>
      </c>
      <c r="D83" s="20" t="s">
        <v>12</v>
      </c>
      <c r="E83" s="20" t="s">
        <v>26</v>
      </c>
      <c r="F83" s="21">
        <v>2</v>
      </c>
      <c r="G83" s="6">
        <v>2</v>
      </c>
      <c r="H83" s="3"/>
      <c r="I83" s="3"/>
      <c r="L83" s="8"/>
      <c r="M83" s="8"/>
      <c r="N83" s="8"/>
      <c r="O83" s="8"/>
      <c r="AF83" s="3">
        <v>1500</v>
      </c>
    </row>
    <row r="84" spans="1:33" ht="13.8">
      <c r="A84" s="19" t="s">
        <v>113</v>
      </c>
      <c r="B84" s="47">
        <v>-84.045175821001195</v>
      </c>
      <c r="C84" s="47">
        <v>20.511757661597162</v>
      </c>
      <c r="D84" s="20" t="s">
        <v>12</v>
      </c>
      <c r="E84" s="20" t="s">
        <v>26</v>
      </c>
      <c r="F84" s="21">
        <v>2</v>
      </c>
      <c r="G84" s="6">
        <v>3</v>
      </c>
      <c r="H84" s="3"/>
      <c r="I84" s="3"/>
      <c r="L84" s="8"/>
      <c r="M84" s="8"/>
      <c r="N84" s="8"/>
      <c r="O84" s="8"/>
      <c r="AF84" s="3">
        <v>1500</v>
      </c>
    </row>
    <row r="85" spans="1:33" ht="13.8">
      <c r="A85" s="19" t="s">
        <v>114</v>
      </c>
      <c r="B85" s="47">
        <v>-84.07369756996394</v>
      </c>
      <c r="C85" s="47">
        <v>22.626334527134869</v>
      </c>
      <c r="D85" s="20" t="s">
        <v>12</v>
      </c>
      <c r="E85" s="20" t="s">
        <v>26</v>
      </c>
      <c r="F85" s="21">
        <v>2</v>
      </c>
      <c r="G85" s="6">
        <v>4</v>
      </c>
      <c r="H85" s="3"/>
      <c r="I85" s="3"/>
      <c r="L85" s="8"/>
      <c r="M85" s="8"/>
      <c r="N85" s="8"/>
      <c r="O85" s="8"/>
      <c r="AF85" s="3">
        <v>1500</v>
      </c>
    </row>
    <row r="86" spans="1:33" ht="13.8">
      <c r="A86" s="19" t="s">
        <v>115</v>
      </c>
      <c r="B86" s="47">
        <v>-91.96772340629694</v>
      </c>
      <c r="C86" s="47">
        <v>21.022343371759749</v>
      </c>
      <c r="D86" s="20" t="s">
        <v>12</v>
      </c>
      <c r="E86" s="20" t="s">
        <v>26</v>
      </c>
      <c r="F86" s="21">
        <v>2</v>
      </c>
      <c r="G86" s="6">
        <v>5</v>
      </c>
      <c r="H86" s="3"/>
      <c r="I86" s="3"/>
      <c r="L86" s="8"/>
      <c r="M86" s="8"/>
      <c r="N86" s="8"/>
      <c r="O86" s="8"/>
      <c r="AF86" s="3">
        <v>1500</v>
      </c>
    </row>
    <row r="87" spans="1:33" ht="13.8">
      <c r="A87" s="19" t="s">
        <v>116</v>
      </c>
      <c r="B87" s="47">
        <v>-83.681252745628541</v>
      </c>
      <c r="C87" s="47">
        <v>21.335027643874827</v>
      </c>
      <c r="D87" s="20" t="s">
        <v>12</v>
      </c>
      <c r="E87" s="20" t="s">
        <v>26</v>
      </c>
      <c r="F87" s="21">
        <v>2</v>
      </c>
      <c r="G87" s="6">
        <v>6</v>
      </c>
      <c r="H87" s="3"/>
      <c r="I87" s="3"/>
      <c r="L87" s="8"/>
      <c r="M87" s="8"/>
      <c r="N87" s="8"/>
      <c r="O87" s="8"/>
      <c r="AF87" s="3">
        <v>1500</v>
      </c>
    </row>
    <row r="88" spans="1:33" ht="13.8">
      <c r="A88" s="19" t="s">
        <v>117</v>
      </c>
      <c r="B88" s="47">
        <v>-102.67384927643731</v>
      </c>
      <c r="C88" s="47">
        <v>23.015210852898239</v>
      </c>
      <c r="D88" s="20" t="s">
        <v>12</v>
      </c>
      <c r="E88" s="20" t="s">
        <v>26</v>
      </c>
      <c r="F88" s="21">
        <v>2</v>
      </c>
      <c r="G88" s="6">
        <v>7</v>
      </c>
      <c r="H88" s="3"/>
      <c r="I88" s="3"/>
      <c r="L88" s="8"/>
      <c r="M88" s="8"/>
      <c r="N88" s="8"/>
      <c r="O88" s="8"/>
      <c r="AF88" s="3">
        <v>1500</v>
      </c>
    </row>
    <row r="89" spans="1:33" ht="13.8">
      <c r="A89" s="19" t="s">
        <v>118</v>
      </c>
      <c r="B89" s="47">
        <v>-91.79875912130251</v>
      </c>
      <c r="C89" s="47">
        <v>21.742704606252712</v>
      </c>
      <c r="D89" s="20" t="s">
        <v>12</v>
      </c>
      <c r="E89" s="20" t="s">
        <v>26</v>
      </c>
      <c r="F89" s="21">
        <v>2</v>
      </c>
      <c r="G89" s="6">
        <v>8</v>
      </c>
      <c r="H89" s="3"/>
      <c r="I89" s="3"/>
      <c r="L89" s="8"/>
      <c r="M89" s="8"/>
      <c r="N89" s="8"/>
      <c r="O89" s="8"/>
      <c r="AF89" s="3">
        <v>1500</v>
      </c>
    </row>
    <row r="90" spans="1:33" ht="13.8">
      <c r="A90" s="19" t="s">
        <v>119</v>
      </c>
      <c r="B90" s="47">
        <v>-85.540942984958591</v>
      </c>
      <c r="C90" s="47">
        <v>22.239437215751973</v>
      </c>
      <c r="D90" s="20" t="s">
        <v>12</v>
      </c>
      <c r="E90" s="20" t="s">
        <v>26</v>
      </c>
      <c r="F90" s="21">
        <v>2</v>
      </c>
      <c r="G90" s="6">
        <v>9</v>
      </c>
      <c r="H90" s="3"/>
      <c r="I90" s="3"/>
      <c r="L90" s="8"/>
      <c r="M90" s="8"/>
      <c r="N90" s="8"/>
      <c r="O90" s="8"/>
      <c r="AF90" s="3">
        <v>1500</v>
      </c>
    </row>
    <row r="91" spans="1:33" ht="13.8">
      <c r="A91" s="19" t="s">
        <v>120</v>
      </c>
      <c r="B91" s="47">
        <v>-99.129931709117642</v>
      </c>
      <c r="C91" s="47">
        <v>21.798117008906015</v>
      </c>
      <c r="D91" s="20" t="s">
        <v>12</v>
      </c>
      <c r="E91" s="20" t="s">
        <v>26</v>
      </c>
      <c r="F91" s="21">
        <v>2</v>
      </c>
      <c r="G91" s="6">
        <v>10</v>
      </c>
      <c r="H91" s="3"/>
      <c r="I91" s="3"/>
      <c r="L91" s="8"/>
      <c r="M91" s="8"/>
      <c r="N91" s="8"/>
      <c r="O91" s="8"/>
    </row>
    <row r="92" spans="1:33" ht="13.8">
      <c r="A92" s="19" t="s">
        <v>121</v>
      </c>
      <c r="B92" s="47">
        <v>-90.168687012862378</v>
      </c>
      <c r="C92" s="47">
        <v>23.318000053110939</v>
      </c>
      <c r="D92" s="20" t="s">
        <v>12</v>
      </c>
      <c r="E92" s="20" t="s">
        <v>38</v>
      </c>
      <c r="F92" s="21">
        <v>2</v>
      </c>
      <c r="G92" s="6">
        <v>1</v>
      </c>
      <c r="H92" s="3"/>
      <c r="I92" s="3"/>
      <c r="L92" s="8">
        <f>+AVERAGE(C92:C101)</f>
        <v>22.068054570402829</v>
      </c>
      <c r="M92" s="8">
        <f>+AVERAGE(B92:B101)</f>
        <v>-81.366405937724792</v>
      </c>
      <c r="N92" s="8">
        <f t="shared" ref="N92" si="8">+STDEV(C92:C101)/SQRT(COUNT(C92:C101))</f>
        <v>0.27504668291963547</v>
      </c>
      <c r="O92" s="8">
        <f>+STDEV(B92:B101)/SQRT(COUNT(B92:B101))</f>
        <v>1.1106258629244588</v>
      </c>
      <c r="P92" s="8"/>
    </row>
    <row r="93" spans="1:33" ht="13.8">
      <c r="A93" s="19" t="s">
        <v>122</v>
      </c>
      <c r="B93" s="47">
        <v>-79.883888750817192</v>
      </c>
      <c r="C93" s="47">
        <v>20.955056882823595</v>
      </c>
      <c r="D93" s="20" t="s">
        <v>12</v>
      </c>
      <c r="E93" s="20" t="s">
        <v>38</v>
      </c>
      <c r="F93" s="21">
        <v>2</v>
      </c>
      <c r="G93" s="6">
        <v>2</v>
      </c>
      <c r="H93" s="3"/>
      <c r="I93" s="3"/>
      <c r="L93" s="8"/>
      <c r="M93" s="8"/>
      <c r="N93" s="8"/>
      <c r="O93" s="8"/>
      <c r="P93" s="8"/>
    </row>
    <row r="94" spans="1:33" ht="13.8">
      <c r="A94" s="19" t="s">
        <v>123</v>
      </c>
      <c r="B94" s="47">
        <v>-83.694611033117454</v>
      </c>
      <c r="C94" s="47">
        <v>22.933081756108525</v>
      </c>
      <c r="D94" s="20" t="s">
        <v>12</v>
      </c>
      <c r="E94" s="20" t="s">
        <v>38</v>
      </c>
      <c r="F94" s="21">
        <v>2</v>
      </c>
      <c r="G94" s="6">
        <v>3</v>
      </c>
      <c r="H94" s="3"/>
      <c r="I94" s="3"/>
      <c r="L94" s="8"/>
      <c r="M94" s="8"/>
      <c r="N94" s="8"/>
      <c r="O94" s="8"/>
      <c r="P94" s="8"/>
    </row>
    <row r="95" spans="1:33" ht="13.8">
      <c r="A95" s="19" t="s">
        <v>124</v>
      </c>
      <c r="B95" s="47">
        <v>-80.662279773142103</v>
      </c>
      <c r="C95" s="47">
        <v>21.425072798186445</v>
      </c>
      <c r="D95" s="20" t="s">
        <v>12</v>
      </c>
      <c r="E95" s="20" t="s">
        <v>38</v>
      </c>
      <c r="F95" s="21">
        <v>2</v>
      </c>
      <c r="G95" s="6">
        <v>4</v>
      </c>
      <c r="H95" s="3"/>
      <c r="I95" s="3"/>
      <c r="L95" s="8"/>
      <c r="M95" s="8"/>
      <c r="N95" s="8"/>
      <c r="O95" s="8"/>
      <c r="P95" s="8"/>
    </row>
    <row r="96" spans="1:33" ht="13.8">
      <c r="A96" s="19" t="s">
        <v>125</v>
      </c>
      <c r="B96" s="47">
        <v>-78.039361972961032</v>
      </c>
      <c r="C96" s="47">
        <v>22.774760605670505</v>
      </c>
      <c r="D96" s="20" t="s">
        <v>12</v>
      </c>
      <c r="E96" s="20" t="s">
        <v>38</v>
      </c>
      <c r="F96" s="21">
        <v>2</v>
      </c>
      <c r="G96" s="6">
        <v>5</v>
      </c>
      <c r="H96" s="3"/>
      <c r="I96" s="3"/>
      <c r="L96" s="8"/>
      <c r="M96" s="8"/>
      <c r="N96" s="8"/>
      <c r="O96" s="8"/>
      <c r="P96" s="8"/>
    </row>
    <row r="97" spans="1:16" ht="13.8">
      <c r="A97" s="19" t="s">
        <v>126</v>
      </c>
      <c r="B97" s="47">
        <v>-80.842797171640456</v>
      </c>
      <c r="C97" s="47">
        <v>20.800693761146537</v>
      </c>
      <c r="D97" s="20" t="s">
        <v>12</v>
      </c>
      <c r="E97" s="20" t="s">
        <v>38</v>
      </c>
      <c r="F97" s="21">
        <v>2</v>
      </c>
      <c r="G97" s="6">
        <v>6</v>
      </c>
      <c r="H97" s="3"/>
      <c r="I97" s="3"/>
      <c r="L97" s="8"/>
      <c r="M97" s="8"/>
      <c r="N97" s="8"/>
      <c r="O97" s="8"/>
      <c r="P97" s="8"/>
    </row>
    <row r="98" spans="1:16" ht="13.8">
      <c r="A98" s="19" t="s">
        <v>127</v>
      </c>
      <c r="B98" s="47">
        <v>-80.88431617329509</v>
      </c>
      <c r="C98" s="47">
        <v>21.57943591986351</v>
      </c>
      <c r="D98" s="20" t="s">
        <v>12</v>
      </c>
      <c r="E98" s="20" t="s">
        <v>38</v>
      </c>
      <c r="F98" s="21">
        <v>2</v>
      </c>
      <c r="G98" s="6">
        <v>7</v>
      </c>
      <c r="H98" s="3"/>
      <c r="I98" s="3"/>
      <c r="L98" s="8"/>
      <c r="M98" s="8"/>
      <c r="N98" s="8"/>
      <c r="O98" s="8"/>
      <c r="P98" s="8"/>
    </row>
    <row r="99" spans="1:16" ht="13.8">
      <c r="A99" s="19" t="s">
        <v>128</v>
      </c>
      <c r="B99" s="47">
        <v>-81.783653852613895</v>
      </c>
      <c r="C99" s="47">
        <v>22.108822266640619</v>
      </c>
      <c r="D99" s="20" t="s">
        <v>12</v>
      </c>
      <c r="E99" s="20" t="s">
        <v>38</v>
      </c>
      <c r="F99" s="21">
        <v>2</v>
      </c>
      <c r="G99" s="6">
        <v>8</v>
      </c>
      <c r="H99" s="3"/>
      <c r="I99" s="3"/>
      <c r="L99" s="8"/>
      <c r="M99" s="8"/>
      <c r="N99" s="8"/>
      <c r="O99" s="8"/>
      <c r="P99" s="8"/>
    </row>
    <row r="100" spans="1:16" ht="13.8">
      <c r="A100" s="19" t="s">
        <v>129</v>
      </c>
      <c r="B100" s="47">
        <v>-79.569066407836104</v>
      </c>
      <c r="C100" s="47">
        <v>22.012840069187572</v>
      </c>
      <c r="D100" s="20" t="s">
        <v>12</v>
      </c>
      <c r="E100" s="20" t="s">
        <v>38</v>
      </c>
      <c r="F100" s="21">
        <v>2</v>
      </c>
      <c r="G100" s="6">
        <v>9</v>
      </c>
      <c r="H100" s="3"/>
      <c r="I100" s="3"/>
      <c r="L100" s="8"/>
      <c r="M100" s="8"/>
      <c r="N100" s="8"/>
      <c r="O100" s="8"/>
      <c r="P100" s="8"/>
    </row>
    <row r="101" spans="1:16" ht="13.8">
      <c r="A101" s="19" t="s">
        <v>130</v>
      </c>
      <c r="B101" s="47">
        <v>-78.135397228962177</v>
      </c>
      <c r="C101" s="47">
        <v>22.772781591290038</v>
      </c>
      <c r="D101" s="20" t="s">
        <v>12</v>
      </c>
      <c r="E101" s="20" t="s">
        <v>38</v>
      </c>
      <c r="F101" s="21">
        <v>2</v>
      </c>
      <c r="G101" s="6">
        <v>10</v>
      </c>
      <c r="H101" s="3"/>
      <c r="I101" s="3"/>
      <c r="L101" s="8"/>
      <c r="M101" s="8"/>
      <c r="N101" s="8"/>
      <c r="O101" s="8"/>
      <c r="P101" s="8"/>
    </row>
    <row r="102" spans="1:16" ht="13.8">
      <c r="A102" s="22" t="s">
        <v>131</v>
      </c>
      <c r="B102" s="48">
        <v>-87.100613307984347</v>
      </c>
      <c r="C102" s="48">
        <v>20.960224309261513</v>
      </c>
      <c r="D102" s="23" t="s">
        <v>12</v>
      </c>
      <c r="E102" s="23" t="s">
        <v>38</v>
      </c>
      <c r="F102" s="24">
        <v>3</v>
      </c>
      <c r="G102" s="6">
        <v>1</v>
      </c>
      <c r="H102" s="3"/>
      <c r="I102" s="3"/>
      <c r="K102" s="3" t="s">
        <v>132</v>
      </c>
      <c r="L102" s="8">
        <f>+AVERAGE(C102:C111)</f>
        <v>22.02810046896591</v>
      </c>
      <c r="M102" s="8">
        <f>+AVERAGE(B102:B111)</f>
        <v>-97.698990921781018</v>
      </c>
      <c r="N102" s="8">
        <f t="shared" ref="N102" si="9">+STDEV(C102:C111)/SQRT(COUNT(C102:C111))</f>
        <v>0.21822789378323867</v>
      </c>
      <c r="O102" s="8">
        <f>+STDEV(B102:B111)/SQRT(COUNT(B102:B111))</f>
        <v>2.0573903353686904</v>
      </c>
      <c r="P102" s="8"/>
    </row>
    <row r="103" spans="1:16" ht="13.8">
      <c r="A103" s="22" t="s">
        <v>133</v>
      </c>
      <c r="B103" s="48">
        <v>-100.66042698211942</v>
      </c>
      <c r="C103" s="48">
        <v>21.491589670419089</v>
      </c>
      <c r="D103" s="23" t="s">
        <v>12</v>
      </c>
      <c r="E103" s="23" t="s">
        <v>38</v>
      </c>
      <c r="F103" s="24">
        <v>3</v>
      </c>
      <c r="G103" s="6">
        <v>2</v>
      </c>
      <c r="H103" s="3"/>
      <c r="I103" s="3"/>
      <c r="L103" s="8"/>
      <c r="M103" s="8"/>
      <c r="N103" s="8"/>
      <c r="O103" s="8"/>
      <c r="P103" s="8"/>
    </row>
    <row r="104" spans="1:16" ht="13.8">
      <c r="A104" s="22" t="s">
        <v>134</v>
      </c>
      <c r="B104" s="48">
        <v>-88.564746946871523</v>
      </c>
      <c r="C104" s="48">
        <v>22.103105113985919</v>
      </c>
      <c r="D104" s="23" t="s">
        <v>12</v>
      </c>
      <c r="E104" s="23" t="s">
        <v>38</v>
      </c>
      <c r="F104" s="24">
        <v>3</v>
      </c>
      <c r="G104" s="6">
        <v>3</v>
      </c>
      <c r="H104" s="3"/>
      <c r="I104" s="3"/>
      <c r="L104" s="8"/>
      <c r="M104" s="8"/>
      <c r="N104" s="8"/>
      <c r="O104" s="8"/>
      <c r="P104" s="8"/>
    </row>
    <row r="105" spans="1:16" ht="13.8">
      <c r="A105" s="22" t="s">
        <v>135</v>
      </c>
      <c r="B105" s="48">
        <v>-103.64307297717474</v>
      </c>
      <c r="C105" s="48">
        <v>20.989909524968638</v>
      </c>
      <c r="D105" s="23" t="s">
        <v>12</v>
      </c>
      <c r="E105" s="23" t="s">
        <v>38</v>
      </c>
      <c r="F105" s="24">
        <v>3</v>
      </c>
      <c r="G105" s="6">
        <v>4</v>
      </c>
      <c r="H105" s="3"/>
      <c r="I105" s="3"/>
      <c r="L105" s="8"/>
      <c r="M105" s="8"/>
      <c r="N105" s="8"/>
      <c r="O105" s="8"/>
      <c r="P105" s="8"/>
    </row>
    <row r="106" spans="1:16" ht="13.8">
      <c r="A106" s="22" t="s">
        <v>136</v>
      </c>
      <c r="B106" s="48">
        <v>-99.240683431129654</v>
      </c>
      <c r="C106" s="48">
        <v>22.574110536539003</v>
      </c>
      <c r="D106" s="23" t="s">
        <v>12</v>
      </c>
      <c r="E106" s="23" t="s">
        <v>38</v>
      </c>
      <c r="F106" s="24">
        <v>3</v>
      </c>
      <c r="G106" s="6">
        <v>5</v>
      </c>
      <c r="H106" s="3"/>
      <c r="I106" s="3"/>
      <c r="L106" s="8"/>
      <c r="M106" s="8"/>
      <c r="N106" s="8"/>
      <c r="O106" s="8"/>
      <c r="P106" s="8"/>
    </row>
    <row r="107" spans="1:16" ht="13.8">
      <c r="A107" s="22" t="s">
        <v>137</v>
      </c>
      <c r="B107" s="48">
        <v>-91.074506126393914</v>
      </c>
      <c r="C107" s="48">
        <v>22.17830766044397</v>
      </c>
      <c r="D107" s="23" t="s">
        <v>12</v>
      </c>
      <c r="E107" s="23" t="s">
        <v>38</v>
      </c>
      <c r="F107" s="24">
        <v>3</v>
      </c>
      <c r="G107" s="6">
        <v>6</v>
      </c>
      <c r="H107" s="3"/>
      <c r="I107" s="3"/>
      <c r="L107" s="8"/>
      <c r="M107" s="8"/>
      <c r="N107" s="8"/>
      <c r="O107" s="8"/>
      <c r="P107" s="8"/>
    </row>
    <row r="108" spans="1:16" ht="13.8">
      <c r="A108" s="22" t="s">
        <v>138</v>
      </c>
      <c r="B108" s="48">
        <v>-103.33351142694987</v>
      </c>
      <c r="C108" s="48">
        <v>22.292100987321291</v>
      </c>
      <c r="D108" s="23" t="s">
        <v>12</v>
      </c>
      <c r="E108" s="23" t="s">
        <v>38</v>
      </c>
      <c r="F108" s="24">
        <v>3</v>
      </c>
      <c r="G108" s="6">
        <v>7</v>
      </c>
      <c r="H108" s="3"/>
      <c r="I108" s="3"/>
      <c r="L108" s="8"/>
      <c r="M108" s="8"/>
      <c r="N108" s="8"/>
      <c r="O108" s="8"/>
      <c r="P108" s="8"/>
    </row>
    <row r="109" spans="1:16" ht="13.8">
      <c r="A109" s="22" t="s">
        <v>139</v>
      </c>
      <c r="B109" s="48">
        <v>-96.845062823857802</v>
      </c>
      <c r="C109" s="48">
        <v>22.515729612314985</v>
      </c>
      <c r="D109" s="23" t="s">
        <v>12</v>
      </c>
      <c r="E109" s="23" t="s">
        <v>38</v>
      </c>
      <c r="F109" s="24">
        <v>3</v>
      </c>
      <c r="G109" s="6">
        <v>8</v>
      </c>
      <c r="H109" s="3"/>
      <c r="I109" s="3"/>
      <c r="L109" s="8"/>
      <c r="M109" s="8"/>
      <c r="N109" s="8"/>
      <c r="O109" s="8"/>
      <c r="P109" s="8"/>
    </row>
    <row r="110" spans="1:16" ht="13.8">
      <c r="A110" s="22" t="s">
        <v>140</v>
      </c>
      <c r="B110" s="48">
        <v>-103.72537171875682</v>
      </c>
      <c r="C110" s="48">
        <v>23.097559840174682</v>
      </c>
      <c r="D110" s="23" t="s">
        <v>12</v>
      </c>
      <c r="E110" s="23" t="s">
        <v>38</v>
      </c>
      <c r="F110" s="24">
        <v>3</v>
      </c>
      <c r="G110" s="6">
        <v>9</v>
      </c>
      <c r="H110" s="3"/>
      <c r="I110" s="3"/>
      <c r="L110" s="8"/>
      <c r="M110" s="8"/>
      <c r="N110" s="8"/>
      <c r="O110" s="8"/>
      <c r="P110" s="8"/>
    </row>
    <row r="111" spans="1:16" ht="13.8">
      <c r="A111" s="22" t="s">
        <v>141</v>
      </c>
      <c r="B111" s="48">
        <v>-102.80191347657203</v>
      </c>
      <c r="C111" s="48">
        <v>22.078367434229975</v>
      </c>
      <c r="D111" s="23" t="s">
        <v>12</v>
      </c>
      <c r="E111" s="23" t="s">
        <v>38</v>
      </c>
      <c r="F111" s="24">
        <v>3</v>
      </c>
      <c r="G111" s="6">
        <v>10</v>
      </c>
      <c r="H111" s="3"/>
      <c r="I111" s="3"/>
      <c r="L111" s="8"/>
      <c r="M111" s="8"/>
      <c r="N111" s="8"/>
      <c r="O111" s="8"/>
      <c r="P111" s="8"/>
    </row>
    <row r="112" spans="1:16" ht="13.8">
      <c r="A112" s="22" t="s">
        <v>142</v>
      </c>
      <c r="B112" s="48">
        <v>-81.529089936464786</v>
      </c>
      <c r="C112" s="48">
        <v>21.813179507246304</v>
      </c>
      <c r="D112" s="23" t="s">
        <v>12</v>
      </c>
      <c r="E112" s="23" t="s">
        <v>51</v>
      </c>
      <c r="F112" s="24">
        <v>3</v>
      </c>
      <c r="G112" s="6">
        <v>1</v>
      </c>
      <c r="H112" s="3"/>
      <c r="I112" s="3"/>
      <c r="L112" s="8">
        <f>+AVERAGE(C112:C121)</f>
        <v>22.529087959383197</v>
      </c>
      <c r="M112" s="8">
        <f>+AVERAGE(B112:B121)</f>
        <v>-82.984983385913836</v>
      </c>
      <c r="N112" s="8">
        <f t="shared" ref="N112" si="10">+STDEV(C112:C121)/SQRT(COUNT(C112:C121))</f>
        <v>0.23145667435647085</v>
      </c>
      <c r="O112" s="8">
        <f>+STDEV(B112:B121)/SQRT(COUNT(B112:B121))</f>
        <v>2.0343659997849128</v>
      </c>
    </row>
    <row r="113" spans="1:16" ht="13.8">
      <c r="A113" s="22" t="s">
        <v>143</v>
      </c>
      <c r="B113" s="48">
        <v>-78.268292418523288</v>
      </c>
      <c r="C113" s="48">
        <v>22.710662528791786</v>
      </c>
      <c r="D113" s="23" t="s">
        <v>12</v>
      </c>
      <c r="E113" s="23" t="s">
        <v>51</v>
      </c>
      <c r="F113" s="24">
        <v>3</v>
      </c>
      <c r="G113" s="6">
        <v>2</v>
      </c>
      <c r="H113" s="3"/>
      <c r="I113" s="3"/>
      <c r="L113" s="8"/>
      <c r="M113" s="8"/>
      <c r="N113" s="8"/>
      <c r="O113" s="8"/>
    </row>
    <row r="114" spans="1:16" ht="13.8">
      <c r="A114" s="22" t="s">
        <v>144</v>
      </c>
      <c r="B114" s="48">
        <v>-76.893179645295589</v>
      </c>
      <c r="C114" s="48">
        <v>22.91746953155144</v>
      </c>
      <c r="D114" s="23" t="s">
        <v>12</v>
      </c>
      <c r="E114" s="23" t="s">
        <v>51</v>
      </c>
      <c r="F114" s="24">
        <v>3</v>
      </c>
      <c r="G114" s="6">
        <v>3</v>
      </c>
      <c r="H114" s="3"/>
      <c r="I114" s="3"/>
      <c r="L114" s="8"/>
      <c r="M114" s="8"/>
      <c r="N114" s="8"/>
      <c r="O114" s="8"/>
    </row>
    <row r="115" spans="1:16" ht="13.8">
      <c r="A115" s="22" t="s">
        <v>145</v>
      </c>
      <c r="B115" s="48">
        <v>-75.255955609448279</v>
      </c>
      <c r="C115" s="48">
        <v>22.215908933672999</v>
      </c>
      <c r="D115" s="23" t="s">
        <v>12</v>
      </c>
      <c r="E115" s="23" t="s">
        <v>51</v>
      </c>
      <c r="F115" s="24">
        <v>3</v>
      </c>
      <c r="G115" s="6">
        <v>4</v>
      </c>
      <c r="H115" s="3"/>
      <c r="I115" s="3"/>
      <c r="L115" s="8"/>
      <c r="M115" s="8"/>
      <c r="N115" s="8"/>
      <c r="O115" s="8"/>
    </row>
    <row r="116" spans="1:16" ht="13.8">
      <c r="A116" s="22" t="s">
        <v>146</v>
      </c>
      <c r="B116" s="48">
        <v>-87.108796763382955</v>
      </c>
      <c r="C116" s="48">
        <v>21.705323223510412</v>
      </c>
      <c r="D116" s="23" t="s">
        <v>12</v>
      </c>
      <c r="E116" s="23" t="s">
        <v>51</v>
      </c>
      <c r="F116" s="24">
        <v>3</v>
      </c>
      <c r="G116" s="6">
        <v>5</v>
      </c>
      <c r="H116" s="3"/>
      <c r="I116" s="3"/>
      <c r="L116" s="8"/>
      <c r="M116" s="8"/>
      <c r="N116" s="8"/>
      <c r="O116" s="8"/>
    </row>
    <row r="117" spans="1:16" ht="13.8">
      <c r="A117" s="22" t="s">
        <v>147</v>
      </c>
      <c r="B117" s="48">
        <v>-84.46428564391482</v>
      </c>
      <c r="C117" s="48">
        <v>21.571739752828329</v>
      </c>
      <c r="D117" s="23" t="s">
        <v>12</v>
      </c>
      <c r="E117" s="23" t="s">
        <v>51</v>
      </c>
      <c r="F117" s="24">
        <v>3</v>
      </c>
      <c r="G117" s="6">
        <v>6</v>
      </c>
      <c r="H117" s="3"/>
      <c r="I117" s="3"/>
      <c r="L117" s="8"/>
      <c r="M117" s="8"/>
      <c r="N117" s="8"/>
      <c r="O117" s="8"/>
    </row>
    <row r="118" spans="1:16" ht="13.8">
      <c r="A118" s="22" t="s">
        <v>148</v>
      </c>
      <c r="B118" s="48">
        <v>-80.877473704285293</v>
      </c>
      <c r="C118" s="48">
        <v>23.995042861720172</v>
      </c>
      <c r="D118" s="23" t="s">
        <v>12</v>
      </c>
      <c r="E118" s="23" t="s">
        <v>51</v>
      </c>
      <c r="F118" s="24">
        <v>3</v>
      </c>
      <c r="G118" s="6">
        <v>7</v>
      </c>
      <c r="H118" s="3"/>
      <c r="I118" s="3"/>
      <c r="L118" s="8"/>
      <c r="M118" s="8"/>
      <c r="N118" s="8"/>
      <c r="O118" s="8"/>
    </row>
    <row r="119" spans="1:16" ht="13.8">
      <c r="A119" s="22" t="s">
        <v>149</v>
      </c>
      <c r="B119" s="48">
        <v>-82.523139077529066</v>
      </c>
      <c r="C119" s="48">
        <v>22.559267928685443</v>
      </c>
      <c r="D119" s="23" t="s">
        <v>12</v>
      </c>
      <c r="E119" s="23" t="s">
        <v>51</v>
      </c>
      <c r="F119" s="24">
        <v>3</v>
      </c>
      <c r="G119" s="6">
        <v>8</v>
      </c>
      <c r="H119" s="3"/>
      <c r="I119" s="3"/>
      <c r="L119" s="8"/>
      <c r="M119" s="8"/>
      <c r="N119" s="8"/>
      <c r="O119" s="8"/>
    </row>
    <row r="120" spans="1:16" ht="13.8">
      <c r="A120" s="22" t="s">
        <v>150</v>
      </c>
      <c r="B120" s="48">
        <v>-84.999545518662231</v>
      </c>
      <c r="C120" s="48">
        <v>22.952102283209761</v>
      </c>
      <c r="D120" s="23" t="s">
        <v>12</v>
      </c>
      <c r="E120" s="23" t="s">
        <v>51</v>
      </c>
      <c r="F120" s="24">
        <v>3</v>
      </c>
      <c r="G120" s="6">
        <v>9</v>
      </c>
      <c r="H120" s="3"/>
      <c r="I120" s="3"/>
      <c r="L120" s="8"/>
      <c r="M120" s="8"/>
      <c r="N120" s="8"/>
      <c r="O120" s="8"/>
    </row>
    <row r="121" spans="1:16" ht="13.8">
      <c r="A121" s="22" t="s">
        <v>151</v>
      </c>
      <c r="B121" s="48">
        <v>-97.93007554163205</v>
      </c>
      <c r="C121" s="48">
        <v>22.850183042615285</v>
      </c>
      <c r="D121" s="23" t="s">
        <v>12</v>
      </c>
      <c r="E121" s="23" t="s">
        <v>51</v>
      </c>
      <c r="F121" s="24">
        <v>3</v>
      </c>
      <c r="G121" s="6">
        <v>10</v>
      </c>
      <c r="H121" s="3"/>
      <c r="I121" s="3"/>
      <c r="L121" s="8"/>
      <c r="M121" s="8"/>
      <c r="N121" s="8"/>
      <c r="O121" s="8"/>
    </row>
    <row r="122" spans="1:16" s="10" customFormat="1" ht="13.8">
      <c r="A122" s="25" t="s">
        <v>152</v>
      </c>
      <c r="B122" s="49">
        <v>-96.752139343964103</v>
      </c>
      <c r="C122" s="49">
        <v>20.443811501200848</v>
      </c>
      <c r="D122" s="26" t="s">
        <v>64</v>
      </c>
      <c r="E122" s="26" t="s">
        <v>26</v>
      </c>
      <c r="F122" s="27">
        <v>2</v>
      </c>
      <c r="G122" s="6">
        <v>1</v>
      </c>
      <c r="J122" s="3"/>
      <c r="K122" s="10" t="s">
        <v>111</v>
      </c>
      <c r="L122" s="8">
        <f>+AVERAGE(C122:C131)</f>
        <v>21.256251348737543</v>
      </c>
      <c r="M122" s="8">
        <f>+AVERAGE(B122:B131)</f>
        <v>-98.249778731225931</v>
      </c>
      <c r="N122" s="8">
        <f t="shared" ref="N122" si="11">+STDEV(C122:C131)/SQRT(COUNT(C122:C131))</f>
        <v>0.23328994479918388</v>
      </c>
      <c r="O122" s="8">
        <f>+STDEV(B122:B131)/SQRT(COUNT(B122:B131))</f>
        <v>1.0997766943031118</v>
      </c>
      <c r="P122" s="12"/>
    </row>
    <row r="123" spans="1:16" ht="13.8">
      <c r="A123" s="19" t="s">
        <v>153</v>
      </c>
      <c r="B123" s="47">
        <v>-103.01390967094184</v>
      </c>
      <c r="C123" s="47">
        <v>20.446780022771556</v>
      </c>
      <c r="D123" s="20" t="s">
        <v>64</v>
      </c>
      <c r="E123" s="20" t="s">
        <v>26</v>
      </c>
      <c r="F123" s="21">
        <v>2</v>
      </c>
      <c r="G123" s="6">
        <v>2</v>
      </c>
      <c r="H123" s="3"/>
      <c r="I123" s="3"/>
      <c r="L123" s="8"/>
      <c r="M123" s="8"/>
      <c r="N123" s="8"/>
      <c r="O123" s="8"/>
      <c r="P123" s="12"/>
    </row>
    <row r="124" spans="1:16" ht="13.8">
      <c r="A124" s="19" t="s">
        <v>154</v>
      </c>
      <c r="B124" s="47">
        <v>-100.62817454025441</v>
      </c>
      <c r="C124" s="47">
        <v>20.718894500086897</v>
      </c>
      <c r="D124" s="20" t="s">
        <v>64</v>
      </c>
      <c r="E124" s="20" t="s">
        <v>26</v>
      </c>
      <c r="F124" s="21">
        <v>2</v>
      </c>
      <c r="G124" s="6">
        <v>3</v>
      </c>
      <c r="H124" s="3"/>
      <c r="I124" s="3"/>
      <c r="L124" s="8"/>
      <c r="M124" s="8"/>
      <c r="N124" s="8"/>
      <c r="O124" s="8"/>
      <c r="P124" s="12"/>
    </row>
    <row r="125" spans="1:16" ht="13.8">
      <c r="A125" s="19" t="s">
        <v>155</v>
      </c>
      <c r="B125" s="47">
        <v>-99.369951080587697</v>
      </c>
      <c r="C125" s="47">
        <v>21.369990231263223</v>
      </c>
      <c r="D125" s="20" t="s">
        <v>64</v>
      </c>
      <c r="E125" s="20" t="s">
        <v>26</v>
      </c>
      <c r="F125" s="21">
        <v>2</v>
      </c>
      <c r="G125" s="6">
        <v>4</v>
      </c>
      <c r="H125" s="3"/>
      <c r="I125" s="3"/>
      <c r="L125" s="8"/>
      <c r="M125" s="8"/>
      <c r="N125" s="8"/>
      <c r="O125" s="8"/>
      <c r="P125" s="12"/>
    </row>
    <row r="126" spans="1:16" ht="13.8">
      <c r="A126" s="19" t="s">
        <v>156</v>
      </c>
      <c r="B126" s="47">
        <v>-101.47260054616333</v>
      </c>
      <c r="C126" s="47">
        <v>20.695146327521194</v>
      </c>
      <c r="D126" s="20" t="s">
        <v>64</v>
      </c>
      <c r="E126" s="20" t="s">
        <v>26</v>
      </c>
      <c r="F126" s="21">
        <v>2</v>
      </c>
      <c r="G126" s="6">
        <v>5</v>
      </c>
      <c r="H126" s="3"/>
      <c r="I126" s="3"/>
      <c r="L126" s="8"/>
      <c r="M126" s="8"/>
      <c r="N126" s="8"/>
      <c r="O126" s="8"/>
      <c r="P126" s="12"/>
    </row>
    <row r="127" spans="1:16" ht="13.8">
      <c r="A127" s="19" t="s">
        <v>157</v>
      </c>
      <c r="B127" s="47">
        <v>-98.194387397300062</v>
      </c>
      <c r="C127" s="47">
        <v>21.234427746200673</v>
      </c>
      <c r="D127" s="20" t="s">
        <v>64</v>
      </c>
      <c r="E127" s="20" t="s">
        <v>26</v>
      </c>
      <c r="F127" s="21">
        <v>2</v>
      </c>
      <c r="G127" s="6">
        <v>6</v>
      </c>
      <c r="H127" s="3"/>
      <c r="I127" s="3"/>
      <c r="L127" s="8"/>
      <c r="M127" s="8"/>
      <c r="N127" s="8"/>
      <c r="O127" s="8"/>
      <c r="P127" s="12"/>
    </row>
    <row r="128" spans="1:16" ht="13.8">
      <c r="A128" s="19" t="s">
        <v>158</v>
      </c>
      <c r="B128" s="47">
        <v>-95.069975071957344</v>
      </c>
      <c r="C128" s="47">
        <v>20.992987991782705</v>
      </c>
      <c r="D128" s="20" t="s">
        <v>64</v>
      </c>
      <c r="E128" s="20" t="s">
        <v>26</v>
      </c>
      <c r="F128" s="21">
        <v>2</v>
      </c>
      <c r="G128" s="6">
        <v>7</v>
      </c>
      <c r="H128" s="3"/>
      <c r="I128" s="3"/>
      <c r="L128" s="8"/>
      <c r="M128" s="8"/>
      <c r="N128" s="8"/>
      <c r="O128" s="8"/>
      <c r="P128" s="12"/>
    </row>
    <row r="129" spans="1:16" ht="13.8">
      <c r="A129" s="19" t="s">
        <v>159</v>
      </c>
      <c r="B129" s="47">
        <v>-92.691821672006853</v>
      </c>
      <c r="C129" s="47">
        <v>21.999708573584499</v>
      </c>
      <c r="D129" s="20" t="s">
        <v>64</v>
      </c>
      <c r="E129" s="20" t="s">
        <v>26</v>
      </c>
      <c r="F129" s="21">
        <v>2</v>
      </c>
      <c r="G129" s="6">
        <v>8</v>
      </c>
      <c r="H129" s="3"/>
      <c r="I129" s="3"/>
      <c r="L129" s="8"/>
      <c r="M129" s="8"/>
      <c r="N129" s="8"/>
      <c r="O129" s="8"/>
      <c r="P129" s="12"/>
    </row>
    <row r="130" spans="1:16" ht="13.8">
      <c r="A130" s="19" t="s">
        <v>160</v>
      </c>
      <c r="B130" s="47">
        <v>-94.124029519559627</v>
      </c>
      <c r="C130" s="47">
        <v>22.195630997251602</v>
      </c>
      <c r="D130" s="20" t="s">
        <v>64</v>
      </c>
      <c r="E130" s="20" t="s">
        <v>26</v>
      </c>
      <c r="F130" s="21">
        <v>2</v>
      </c>
      <c r="G130" s="6">
        <v>9</v>
      </c>
      <c r="H130" s="3"/>
      <c r="I130" s="3"/>
      <c r="L130" s="8"/>
      <c r="M130" s="8"/>
      <c r="N130" s="8"/>
      <c r="O130" s="8"/>
      <c r="P130" s="12"/>
    </row>
    <row r="131" spans="1:16" ht="13.8">
      <c r="A131" s="19" t="s">
        <v>161</v>
      </c>
      <c r="B131" s="47">
        <v>-101.18079846952406</v>
      </c>
      <c r="C131" s="47">
        <v>22.465135595712201</v>
      </c>
      <c r="D131" s="20" t="s">
        <v>64</v>
      </c>
      <c r="E131" s="20" t="s">
        <v>26</v>
      </c>
      <c r="F131" s="21">
        <v>2</v>
      </c>
      <c r="G131" s="6">
        <v>10</v>
      </c>
      <c r="H131" s="3"/>
      <c r="I131" s="3"/>
      <c r="L131" s="8"/>
      <c r="M131" s="8"/>
      <c r="N131" s="8"/>
      <c r="O131" s="8"/>
      <c r="P131" s="12"/>
    </row>
    <row r="132" spans="1:16" s="10" customFormat="1" ht="13.8">
      <c r="A132" s="25" t="s">
        <v>162</v>
      </c>
      <c r="B132" s="49">
        <v>-103.90612980711978</v>
      </c>
      <c r="C132" s="49">
        <v>20.342881767796612</v>
      </c>
      <c r="D132" s="26" t="s">
        <v>64</v>
      </c>
      <c r="E132" s="26" t="s">
        <v>38</v>
      </c>
      <c r="F132" s="27">
        <v>2</v>
      </c>
      <c r="G132" s="6">
        <v>1</v>
      </c>
      <c r="J132" s="3"/>
      <c r="K132" s="10" t="s">
        <v>111</v>
      </c>
      <c r="L132" s="8">
        <f>+AVERAGE(C132:C141)</f>
        <v>20.805575329951708</v>
      </c>
      <c r="M132" s="8">
        <f>+AVERAGE(B132:B141)</f>
        <v>-102.04781665765829</v>
      </c>
      <c r="N132" s="8">
        <f t="shared" ref="N132" si="12">+STDEV(C132:C141)/SQRT(COUNT(C132:C141))</f>
        <v>0.14170982097331494</v>
      </c>
      <c r="O132" s="8">
        <f>+STDEV(B132:B141)/SQRT(COUNT(B132:B141))</f>
        <v>1.0369367828204903</v>
      </c>
    </row>
    <row r="133" spans="1:16" ht="13.8">
      <c r="A133" s="19" t="s">
        <v>163</v>
      </c>
      <c r="B133" s="47">
        <v>-103.52862494652675</v>
      </c>
      <c r="C133" s="47">
        <v>20.680303719667634</v>
      </c>
      <c r="D133" s="20" t="s">
        <v>64</v>
      </c>
      <c r="E133" s="20" t="s">
        <v>38</v>
      </c>
      <c r="F133" s="21">
        <v>2</v>
      </c>
      <c r="G133" s="6">
        <v>2</v>
      </c>
      <c r="H133" s="3"/>
      <c r="I133" s="3"/>
      <c r="L133" s="8"/>
      <c r="M133" s="8"/>
      <c r="N133" s="8"/>
      <c r="O133" s="8"/>
    </row>
    <row r="134" spans="1:16" ht="13.8">
      <c r="A134" s="19" t="s">
        <v>164</v>
      </c>
      <c r="B134" s="47">
        <v>-101.25027187974604</v>
      </c>
      <c r="C134" s="47">
        <v>20.331007681513761</v>
      </c>
      <c r="D134" s="20" t="s">
        <v>64</v>
      </c>
      <c r="E134" s="20" t="s">
        <v>38</v>
      </c>
      <c r="F134" s="21">
        <v>2</v>
      </c>
      <c r="G134" s="6">
        <v>3</v>
      </c>
      <c r="H134" s="3"/>
      <c r="I134" s="3"/>
      <c r="L134" s="8"/>
      <c r="M134" s="8"/>
      <c r="N134" s="8"/>
      <c r="O134" s="8"/>
    </row>
    <row r="135" spans="1:16" ht="13.8">
      <c r="A135" s="19" t="s">
        <v>165</v>
      </c>
      <c r="B135" s="47">
        <v>-101.41215300586609</v>
      </c>
      <c r="C135" s="47">
        <v>20.706030906613805</v>
      </c>
      <c r="D135" s="20" t="s">
        <v>64</v>
      </c>
      <c r="E135" s="20" t="s">
        <v>38</v>
      </c>
      <c r="F135" s="21">
        <v>2</v>
      </c>
      <c r="G135" s="6">
        <v>4</v>
      </c>
      <c r="H135" s="3"/>
      <c r="I135" s="3"/>
      <c r="L135" s="8"/>
      <c r="M135" s="8"/>
      <c r="N135" s="8"/>
      <c r="O135" s="8"/>
    </row>
    <row r="136" spans="1:16" ht="13.8">
      <c r="A136" s="19" t="s">
        <v>166</v>
      </c>
      <c r="B136" s="47">
        <v>-97.684606263940623</v>
      </c>
      <c r="C136" s="47">
        <v>20.868310085812773</v>
      </c>
      <c r="D136" s="20" t="s">
        <v>64</v>
      </c>
      <c r="E136" s="20" t="s">
        <v>38</v>
      </c>
      <c r="F136" s="21">
        <v>2</v>
      </c>
      <c r="G136" s="6">
        <v>5</v>
      </c>
      <c r="H136" s="3"/>
      <c r="I136" s="3"/>
      <c r="L136" s="8"/>
      <c r="M136" s="8"/>
      <c r="N136" s="8"/>
      <c r="O136" s="8"/>
    </row>
    <row r="137" spans="1:16" ht="13.8">
      <c r="A137" s="19" t="s">
        <v>167</v>
      </c>
      <c r="B137" s="47">
        <v>-102.69554574852344</v>
      </c>
      <c r="C137" s="47">
        <v>21.840006146626074</v>
      </c>
      <c r="D137" s="20" t="s">
        <v>64</v>
      </c>
      <c r="E137" s="20" t="s">
        <v>38</v>
      </c>
      <c r="F137" s="21">
        <v>2</v>
      </c>
      <c r="G137" s="6">
        <v>6</v>
      </c>
      <c r="H137" s="3"/>
      <c r="I137" s="3"/>
      <c r="L137" s="8"/>
      <c r="M137" s="8"/>
      <c r="N137" s="8"/>
      <c r="O137" s="8"/>
    </row>
    <row r="138" spans="1:16" ht="13.8">
      <c r="A138" s="19" t="s">
        <v>168</v>
      </c>
      <c r="B138" s="47">
        <v>-98.457856838441614</v>
      </c>
      <c r="C138" s="47">
        <v>20.628849345775279</v>
      </c>
      <c r="D138" s="20" t="s">
        <v>64</v>
      </c>
      <c r="E138" s="20" t="s">
        <v>38</v>
      </c>
      <c r="F138" s="21">
        <v>2</v>
      </c>
      <c r="G138" s="6">
        <v>7</v>
      </c>
      <c r="H138" s="3"/>
      <c r="I138" s="3"/>
      <c r="L138" s="8"/>
      <c r="M138" s="8"/>
      <c r="N138" s="8"/>
      <c r="O138" s="8"/>
    </row>
    <row r="139" spans="1:16" ht="13.8">
      <c r="A139" s="19" t="s">
        <v>169</v>
      </c>
      <c r="B139" s="47">
        <v>-107.05278875281076</v>
      </c>
      <c r="C139" s="47">
        <v>21.109749840230741</v>
      </c>
      <c r="D139" s="20" t="s">
        <v>64</v>
      </c>
      <c r="E139" s="20" t="s">
        <v>38</v>
      </c>
      <c r="F139" s="21">
        <v>2</v>
      </c>
      <c r="G139" s="6">
        <v>8</v>
      </c>
      <c r="H139" s="3"/>
      <c r="I139" s="3"/>
      <c r="L139" s="8"/>
      <c r="M139" s="8"/>
      <c r="N139" s="8"/>
      <c r="O139" s="8"/>
    </row>
    <row r="140" spans="1:16" ht="13.8">
      <c r="A140" s="19" t="s">
        <v>170</v>
      </c>
      <c r="B140" s="47">
        <v>-106.28320010267927</v>
      </c>
      <c r="C140" s="47">
        <v>21.041473844104345</v>
      </c>
      <c r="D140" s="20" t="s">
        <v>64</v>
      </c>
      <c r="E140" s="20" t="s">
        <v>38</v>
      </c>
      <c r="F140" s="21">
        <v>2</v>
      </c>
      <c r="G140" s="6">
        <v>9</v>
      </c>
      <c r="H140" s="3"/>
      <c r="I140" s="3"/>
      <c r="L140" s="8"/>
      <c r="M140" s="8"/>
      <c r="N140" s="8"/>
      <c r="O140" s="8"/>
    </row>
    <row r="141" spans="1:16" ht="13.8">
      <c r="A141" s="19" t="s">
        <v>171</v>
      </c>
      <c r="B141" s="47">
        <v>-98.206989230928457</v>
      </c>
      <c r="C141" s="47">
        <v>20.507139961376048</v>
      </c>
      <c r="D141" s="20" t="s">
        <v>64</v>
      </c>
      <c r="E141" s="20" t="s">
        <v>38</v>
      </c>
      <c r="F141" s="21">
        <v>2</v>
      </c>
      <c r="G141" s="6">
        <v>10</v>
      </c>
      <c r="H141" s="3"/>
      <c r="I141" s="3"/>
      <c r="L141" s="8"/>
      <c r="M141" s="8"/>
      <c r="N141" s="8"/>
      <c r="O141" s="8"/>
    </row>
    <row r="142" spans="1:16" ht="13.8">
      <c r="A142" s="19" t="s">
        <v>172</v>
      </c>
      <c r="B142" s="47">
        <v>-84.619719720088483</v>
      </c>
      <c r="C142" s="47">
        <v>22.699887894942528</v>
      </c>
      <c r="D142" s="20" t="s">
        <v>12</v>
      </c>
      <c r="E142" s="20" t="s">
        <v>26</v>
      </c>
      <c r="F142" s="21">
        <v>3</v>
      </c>
      <c r="G142" s="6">
        <v>1</v>
      </c>
      <c r="H142" s="3"/>
      <c r="I142" s="3"/>
      <c r="L142" s="8">
        <f>+AVERAGE(C142:C151)</f>
        <v>22.174855379802469</v>
      </c>
      <c r="M142" s="8">
        <f>+AVERAGE(B142:B151)</f>
        <v>-84.056366180494749</v>
      </c>
      <c r="N142" s="8">
        <f t="shared" ref="N142" si="13">+STDEV(C142:C151)/SQRT(COUNT(C142:C151))</f>
        <v>0.24685101718554531</v>
      </c>
      <c r="O142" s="8">
        <f>+STDEV(B142:B151)/SQRT(COUNT(B142:B151))</f>
        <v>1.7294683159257969</v>
      </c>
    </row>
    <row r="143" spans="1:16" ht="13.8">
      <c r="A143" s="19" t="s">
        <v>173</v>
      </c>
      <c r="B143" s="47">
        <v>-82.801686019478581</v>
      </c>
      <c r="C143" s="47">
        <v>22.029991527151687</v>
      </c>
      <c r="D143" s="20" t="s">
        <v>12</v>
      </c>
      <c r="E143" s="20" t="s">
        <v>26</v>
      </c>
      <c r="F143" s="21">
        <v>3</v>
      </c>
      <c r="G143" s="6">
        <v>2</v>
      </c>
      <c r="H143" s="3"/>
      <c r="I143" s="3"/>
      <c r="L143" s="8"/>
      <c r="M143" s="8"/>
      <c r="N143" s="8"/>
      <c r="O143" s="8"/>
    </row>
    <row r="144" spans="1:16" ht="13.8">
      <c r="A144" s="19" t="s">
        <v>174</v>
      </c>
      <c r="B144" s="47">
        <v>-84.471248457856859</v>
      </c>
      <c r="C144" s="47">
        <v>21.495657644423396</v>
      </c>
      <c r="D144" s="20" t="s">
        <v>12</v>
      </c>
      <c r="E144" s="20" t="s">
        <v>26</v>
      </c>
      <c r="F144" s="21">
        <v>3</v>
      </c>
      <c r="G144" s="6">
        <v>3</v>
      </c>
      <c r="H144" s="3"/>
      <c r="I144" s="3"/>
      <c r="L144" s="8"/>
      <c r="M144" s="8"/>
      <c r="N144" s="8"/>
      <c r="O144" s="8"/>
    </row>
    <row r="145" spans="1:15" ht="13.8">
      <c r="A145" s="19" t="s">
        <v>175</v>
      </c>
      <c r="B145" s="47">
        <v>-79.32050254617036</v>
      </c>
      <c r="C145" s="47">
        <v>22.959138778784776</v>
      </c>
      <c r="D145" s="20" t="s">
        <v>12</v>
      </c>
      <c r="E145" s="20" t="s">
        <v>26</v>
      </c>
      <c r="F145" s="21">
        <v>3</v>
      </c>
      <c r="G145" s="6">
        <v>4</v>
      </c>
      <c r="H145" s="3"/>
      <c r="I145" s="3"/>
      <c r="L145" s="8"/>
      <c r="M145" s="8"/>
      <c r="N145" s="8"/>
      <c r="O145" s="8"/>
    </row>
    <row r="146" spans="1:15" ht="13.8">
      <c r="A146" s="19" t="s">
        <v>176</v>
      </c>
      <c r="B146" s="47">
        <v>-79.922124055032413</v>
      </c>
      <c r="C146" s="47">
        <v>20.905911359041802</v>
      </c>
      <c r="D146" s="20" t="s">
        <v>12</v>
      </c>
      <c r="E146" s="20" t="s">
        <v>26</v>
      </c>
      <c r="F146" s="21">
        <v>3</v>
      </c>
      <c r="G146" s="6">
        <v>5</v>
      </c>
      <c r="H146" s="3"/>
      <c r="I146" s="3"/>
      <c r="L146" s="8"/>
      <c r="M146" s="8"/>
      <c r="N146" s="8"/>
      <c r="O146" s="8"/>
    </row>
    <row r="147" spans="1:15" ht="13.8">
      <c r="A147" s="19" t="s">
        <v>177</v>
      </c>
      <c r="B147" s="47">
        <v>-80.151157653393824</v>
      </c>
      <c r="C147" s="47">
        <v>21.60054540658858</v>
      </c>
      <c r="D147" s="20" t="s">
        <v>12</v>
      </c>
      <c r="E147" s="20" t="s">
        <v>26</v>
      </c>
      <c r="F147" s="21">
        <v>3</v>
      </c>
      <c r="G147" s="6">
        <v>6</v>
      </c>
      <c r="H147" s="3"/>
      <c r="I147" s="3"/>
      <c r="L147" s="8"/>
      <c r="M147" s="8"/>
      <c r="N147" s="8"/>
      <c r="O147" s="8"/>
    </row>
    <row r="148" spans="1:15" ht="13.8">
      <c r="A148" s="19" t="s">
        <v>178</v>
      </c>
      <c r="B148" s="47">
        <v>-77.434147308262141</v>
      </c>
      <c r="C148" s="47">
        <v>23.57164372954184</v>
      </c>
      <c r="D148" s="20" t="s">
        <v>12</v>
      </c>
      <c r="E148" s="20" t="s">
        <v>26</v>
      </c>
      <c r="F148" s="21">
        <v>3</v>
      </c>
      <c r="G148" s="6">
        <v>7</v>
      </c>
      <c r="H148" s="3"/>
      <c r="I148" s="3"/>
      <c r="L148" s="8"/>
      <c r="M148" s="8"/>
      <c r="N148" s="8"/>
      <c r="O148" s="8"/>
    </row>
    <row r="149" spans="1:15" ht="13.8">
      <c r="A149" s="19" t="s">
        <v>179</v>
      </c>
      <c r="B149" s="47">
        <v>-92.306752272810002</v>
      </c>
      <c r="C149" s="47">
        <v>21.779646208021582</v>
      </c>
      <c r="D149" s="20" t="s">
        <v>12</v>
      </c>
      <c r="E149" s="20" t="s">
        <v>26</v>
      </c>
      <c r="F149" s="21">
        <v>3</v>
      </c>
      <c r="G149" s="6">
        <v>8</v>
      </c>
      <c r="H149" s="3"/>
      <c r="I149" s="3"/>
      <c r="L149" s="8"/>
      <c r="M149" s="8"/>
      <c r="N149" s="8"/>
      <c r="O149" s="8"/>
    </row>
    <row r="150" spans="1:15" ht="13.8">
      <c r="A150" s="19" t="s">
        <v>180</v>
      </c>
      <c r="B150" s="47">
        <v>-85.57359084588694</v>
      </c>
      <c r="C150" s="47">
        <v>22.366423971832468</v>
      </c>
      <c r="D150" s="20" t="s">
        <v>12</v>
      </c>
      <c r="E150" s="20" t="s">
        <v>26</v>
      </c>
      <c r="F150" s="21">
        <v>3</v>
      </c>
      <c r="G150" s="6">
        <v>9</v>
      </c>
      <c r="H150" s="3"/>
      <c r="I150" s="3"/>
      <c r="L150" s="8"/>
      <c r="M150" s="8"/>
      <c r="N150" s="8"/>
      <c r="O150" s="8"/>
    </row>
    <row r="151" spans="1:15" ht="13.8">
      <c r="A151" s="19" t="s">
        <v>181</v>
      </c>
      <c r="B151" s="47">
        <v>-93.962732925967941</v>
      </c>
      <c r="C151" s="47">
        <v>22.339707277696057</v>
      </c>
      <c r="D151" s="20" t="s">
        <v>12</v>
      </c>
      <c r="E151" s="20" t="s">
        <v>26</v>
      </c>
      <c r="F151" s="21">
        <v>3</v>
      </c>
      <c r="G151" s="6">
        <v>10</v>
      </c>
      <c r="H151" s="3"/>
      <c r="I151" s="3"/>
      <c r="L151" s="8"/>
      <c r="M151" s="8"/>
      <c r="N151" s="8"/>
      <c r="O151" s="8"/>
    </row>
    <row r="152" spans="1:15" ht="13.8">
      <c r="A152" s="19" t="s">
        <v>182</v>
      </c>
      <c r="B152" s="47">
        <v>-79.446142655525236</v>
      </c>
      <c r="C152" s="47">
        <v>21.053018094657123</v>
      </c>
      <c r="D152" s="20" t="s">
        <v>12</v>
      </c>
      <c r="E152" s="20" t="s">
        <v>26</v>
      </c>
      <c r="F152" s="21">
        <v>4</v>
      </c>
      <c r="G152" s="6">
        <v>1</v>
      </c>
      <c r="H152" s="3"/>
      <c r="I152" s="3"/>
      <c r="K152" s="3" t="s">
        <v>183</v>
      </c>
      <c r="L152" s="8">
        <f>+AVERAGE(C152:C161)</f>
        <v>22.170171712435344</v>
      </c>
      <c r="M152" s="8">
        <f>+AVERAGE(B152:B161)</f>
        <v>-84.87507963200423</v>
      </c>
      <c r="N152" s="8">
        <f t="shared" ref="N152" si="14">+STDEV(C152:C161)/SQRT(COUNT(C152:C161))</f>
        <v>0.2874452438661077</v>
      </c>
      <c r="O152" s="8">
        <f>+STDEV(B152:B161)/SQRT(COUNT(B152:B161))</f>
        <v>2.1001479512490318</v>
      </c>
    </row>
    <row r="153" spans="1:15" ht="13.8">
      <c r="A153" s="19" t="s">
        <v>184</v>
      </c>
      <c r="B153" s="47">
        <v>-85.473446670053363</v>
      </c>
      <c r="C153" s="47">
        <v>22.251311302034825</v>
      </c>
      <c r="D153" s="20" t="s">
        <v>12</v>
      </c>
      <c r="E153" s="20" t="s">
        <v>26</v>
      </c>
      <c r="F153" s="21">
        <v>4</v>
      </c>
      <c r="G153" s="6">
        <v>2</v>
      </c>
      <c r="H153" s="3"/>
      <c r="I153" s="3"/>
      <c r="L153" s="8"/>
      <c r="M153" s="8"/>
      <c r="N153" s="8"/>
      <c r="O153" s="8"/>
    </row>
    <row r="154" spans="1:15" ht="13.8">
      <c r="A154" s="19" t="s">
        <v>185</v>
      </c>
      <c r="B154" s="47">
        <v>-82.728688221952481</v>
      </c>
      <c r="C154" s="47">
        <v>20.776945588580833</v>
      </c>
      <c r="D154" s="20" t="s">
        <v>12</v>
      </c>
      <c r="E154" s="20" t="s">
        <v>26</v>
      </c>
      <c r="F154" s="21">
        <v>4</v>
      </c>
      <c r="G154" s="6">
        <v>3</v>
      </c>
      <c r="H154" s="3"/>
      <c r="I154" s="3"/>
      <c r="L154" s="8"/>
      <c r="M154" s="8"/>
      <c r="N154" s="8"/>
      <c r="O154" s="8"/>
    </row>
    <row r="155" spans="1:15" ht="13.8">
      <c r="A155" s="19" t="s">
        <v>186</v>
      </c>
      <c r="B155" s="47">
        <v>-80.403091173164768</v>
      </c>
      <c r="C155" s="47">
        <v>22.182045798718196</v>
      </c>
      <c r="D155" s="20" t="s">
        <v>12</v>
      </c>
      <c r="E155" s="20" t="s">
        <v>26</v>
      </c>
      <c r="F155" s="21">
        <v>4</v>
      </c>
      <c r="G155" s="6">
        <v>4</v>
      </c>
      <c r="H155" s="3"/>
      <c r="I155" s="3"/>
      <c r="L155" s="8"/>
      <c r="M155" s="8"/>
      <c r="N155" s="8"/>
      <c r="O155" s="8"/>
    </row>
    <row r="156" spans="1:15" ht="13.8">
      <c r="A156" s="19" t="s">
        <v>187</v>
      </c>
      <c r="B156" s="47">
        <v>-85.441520878718919</v>
      </c>
      <c r="C156" s="47">
        <v>21.202433680382992</v>
      </c>
      <c r="D156" s="20" t="s">
        <v>12</v>
      </c>
      <c r="E156" s="20" t="s">
        <v>26</v>
      </c>
      <c r="F156" s="21">
        <v>4</v>
      </c>
      <c r="G156" s="6">
        <v>5</v>
      </c>
      <c r="H156" s="3"/>
      <c r="I156" s="3"/>
      <c r="L156" s="8"/>
      <c r="M156" s="8"/>
      <c r="N156" s="8"/>
      <c r="O156" s="8"/>
    </row>
    <row r="157" spans="1:15" ht="13.8">
      <c r="A157" s="19" t="s">
        <v>188</v>
      </c>
      <c r="B157" s="47">
        <v>-83.46468344383004</v>
      </c>
      <c r="C157" s="47">
        <v>22.409632452472838</v>
      </c>
      <c r="D157" s="20" t="s">
        <v>12</v>
      </c>
      <c r="E157" s="20" t="s">
        <v>26</v>
      </c>
      <c r="F157" s="21">
        <v>4</v>
      </c>
      <c r="G157" s="6">
        <v>6</v>
      </c>
      <c r="H157" s="3"/>
      <c r="I157" s="3"/>
      <c r="L157" s="8"/>
      <c r="M157" s="8"/>
      <c r="N157" s="8"/>
      <c r="O157" s="8"/>
    </row>
    <row r="158" spans="1:15" ht="13.8">
      <c r="A158" s="19" t="s">
        <v>189</v>
      </c>
      <c r="B158" s="47">
        <v>-75.492863204810845</v>
      </c>
      <c r="C158" s="47">
        <v>23.472363174787997</v>
      </c>
      <c r="D158" s="20" t="s">
        <v>12</v>
      </c>
      <c r="E158" s="20" t="s">
        <v>26</v>
      </c>
      <c r="F158" s="21">
        <v>4</v>
      </c>
      <c r="G158" s="6">
        <v>7</v>
      </c>
      <c r="H158" s="3"/>
      <c r="I158" s="3"/>
      <c r="L158" s="8"/>
      <c r="M158" s="8"/>
      <c r="N158" s="8"/>
      <c r="O158" s="8"/>
    </row>
    <row r="159" spans="1:15" ht="13.8">
      <c r="A159" s="19" t="s">
        <v>190</v>
      </c>
      <c r="B159" s="47">
        <v>-96.000189822485879</v>
      </c>
      <c r="C159" s="47">
        <v>22.54123690877444</v>
      </c>
      <c r="D159" s="20" t="s">
        <v>12</v>
      </c>
      <c r="E159" s="20" t="s">
        <v>26</v>
      </c>
      <c r="F159" s="21">
        <v>4</v>
      </c>
      <c r="G159" s="6">
        <v>8</v>
      </c>
      <c r="H159" s="3"/>
      <c r="I159" s="3"/>
      <c r="L159" s="8"/>
      <c r="M159" s="8"/>
      <c r="N159" s="8"/>
      <c r="O159" s="8"/>
    </row>
    <row r="160" spans="1:15" ht="13.8">
      <c r="A160" s="19" t="s">
        <v>191</v>
      </c>
      <c r="B160" s="47">
        <v>-84.118362731992349</v>
      </c>
      <c r="C160" s="47">
        <v>23.31206300996951</v>
      </c>
      <c r="D160" s="20" t="s">
        <v>12</v>
      </c>
      <c r="E160" s="20" t="s">
        <v>26</v>
      </c>
      <c r="F160" s="21">
        <v>4</v>
      </c>
      <c r="G160" s="6">
        <v>9</v>
      </c>
      <c r="H160" s="3"/>
      <c r="I160" s="3"/>
      <c r="L160" s="8"/>
      <c r="M160" s="8"/>
      <c r="N160" s="8"/>
      <c r="O160" s="8"/>
    </row>
    <row r="161" spans="1:16" ht="13.8">
      <c r="A161" s="19" t="s">
        <v>192</v>
      </c>
      <c r="B161" s="47">
        <v>-96.181807517508418</v>
      </c>
      <c r="C161" s="47">
        <v>22.500667113974696</v>
      </c>
      <c r="D161" s="20" t="s">
        <v>12</v>
      </c>
      <c r="E161" s="20" t="s">
        <v>26</v>
      </c>
      <c r="F161" s="21">
        <v>4</v>
      </c>
      <c r="G161" s="6">
        <v>10</v>
      </c>
      <c r="H161" s="3"/>
      <c r="I161" s="3"/>
      <c r="L161" s="8"/>
      <c r="M161" s="8"/>
      <c r="N161" s="8"/>
      <c r="O161" s="8"/>
    </row>
    <row r="162" spans="1:16" ht="13.8">
      <c r="A162" s="19" t="s">
        <v>193</v>
      </c>
      <c r="B162" s="47">
        <v>-91.714913087733223</v>
      </c>
      <c r="C162" s="47">
        <v>21.132178669876122</v>
      </c>
      <c r="D162" s="20" t="s">
        <v>12</v>
      </c>
      <c r="E162" s="20" t="s">
        <v>38</v>
      </c>
      <c r="F162" s="21">
        <v>4</v>
      </c>
      <c r="G162" s="6">
        <v>1</v>
      </c>
      <c r="H162" s="3"/>
      <c r="I162" s="3"/>
      <c r="L162" s="8">
        <f>+AVERAGE(C162:C171)</f>
        <v>22.040942073390319</v>
      </c>
      <c r="M162" s="8">
        <f>+AVERAGE(B162:B171)</f>
        <v>-97.737716201792097</v>
      </c>
      <c r="N162" s="8">
        <f t="shared" ref="N162" si="15">+STDEV(C162:C171)/SQRT(COUNT(C162:C171))</f>
        <v>0.21885395811578007</v>
      </c>
      <c r="O162" s="8">
        <f>+STDEV(B162:B171)/SQRT(COUNT(B162:B171))</f>
        <v>1.7929543500418066</v>
      </c>
      <c r="P162" s="8"/>
    </row>
    <row r="163" spans="1:16" ht="13.8">
      <c r="A163" s="19" t="s">
        <v>194</v>
      </c>
      <c r="B163" s="47">
        <v>-95.530517935859507</v>
      </c>
      <c r="C163" s="47">
        <v>20.945161810921224</v>
      </c>
      <c r="D163" s="20" t="s">
        <v>12</v>
      </c>
      <c r="E163" s="20" t="s">
        <v>38</v>
      </c>
      <c r="F163" s="21">
        <v>4</v>
      </c>
      <c r="G163" s="6">
        <v>2</v>
      </c>
      <c r="H163" s="3"/>
      <c r="I163" s="3"/>
      <c r="L163" s="8"/>
      <c r="M163" s="8"/>
      <c r="N163" s="8"/>
      <c r="O163" s="8"/>
      <c r="P163" s="8"/>
    </row>
    <row r="164" spans="1:16" ht="13.8">
      <c r="A164" s="19" t="s">
        <v>195</v>
      </c>
      <c r="B164" s="47">
        <v>-89.86679315404028</v>
      </c>
      <c r="C164" s="47">
        <v>22.563006066959662</v>
      </c>
      <c r="D164" s="20" t="s">
        <v>12</v>
      </c>
      <c r="E164" s="20" t="s">
        <v>38</v>
      </c>
      <c r="F164" s="21">
        <v>4</v>
      </c>
      <c r="G164" s="6">
        <v>3</v>
      </c>
      <c r="H164" s="3"/>
      <c r="I164" s="3"/>
      <c r="L164" s="8"/>
      <c r="M164" s="8"/>
      <c r="N164" s="8"/>
      <c r="O164" s="8"/>
      <c r="P164" s="8"/>
    </row>
    <row r="165" spans="1:16" ht="13.8">
      <c r="A165" s="19" t="s">
        <v>196</v>
      </c>
      <c r="B165" s="47">
        <v>-98.957116386288448</v>
      </c>
      <c r="C165" s="47">
        <v>21.506212387785933</v>
      </c>
      <c r="D165" s="20" t="s">
        <v>12</v>
      </c>
      <c r="E165" s="20" t="s">
        <v>38</v>
      </c>
      <c r="F165" s="21">
        <v>4</v>
      </c>
      <c r="G165" s="6">
        <v>4</v>
      </c>
      <c r="H165" s="3"/>
      <c r="I165" s="3"/>
      <c r="L165" s="8"/>
      <c r="M165" s="8"/>
      <c r="N165" s="8"/>
      <c r="O165" s="8"/>
      <c r="P165" s="8"/>
    </row>
    <row r="166" spans="1:16" ht="13.8">
      <c r="A166" s="19" t="s">
        <v>197</v>
      </c>
      <c r="B166" s="47">
        <v>-103.12473016148654</v>
      </c>
      <c r="C166" s="47">
        <v>22.900428018830677</v>
      </c>
      <c r="D166" s="20" t="s">
        <v>12</v>
      </c>
      <c r="E166" s="20" t="s">
        <v>38</v>
      </c>
      <c r="F166" s="21">
        <v>4</v>
      </c>
      <c r="G166" s="6">
        <v>5</v>
      </c>
      <c r="H166" s="3"/>
      <c r="I166" s="3"/>
      <c r="L166" s="8"/>
      <c r="M166" s="8"/>
      <c r="N166" s="8"/>
      <c r="O166" s="8"/>
      <c r="P166" s="8"/>
    </row>
    <row r="167" spans="1:16" ht="13.8">
      <c r="A167" s="19" t="s">
        <v>198</v>
      </c>
      <c r="B167" s="47">
        <v>-96.96386046420281</v>
      </c>
      <c r="C167" s="47">
        <v>22.522436272159926</v>
      </c>
      <c r="D167" s="20" t="s">
        <v>12</v>
      </c>
      <c r="E167" s="20" t="s">
        <v>38</v>
      </c>
      <c r="F167" s="21">
        <v>4</v>
      </c>
      <c r="G167" s="6">
        <v>6</v>
      </c>
      <c r="H167" s="3"/>
      <c r="I167" s="3"/>
      <c r="L167" s="8"/>
      <c r="M167" s="8"/>
      <c r="N167" s="8"/>
      <c r="O167" s="8"/>
      <c r="P167" s="8"/>
    </row>
    <row r="168" spans="1:16" ht="13.8">
      <c r="A168" s="19" t="s">
        <v>199</v>
      </c>
      <c r="B168" s="47">
        <v>-103.84465073883113</v>
      </c>
      <c r="C168" s="47">
        <v>21.872330048173833</v>
      </c>
      <c r="D168" s="20" t="s">
        <v>12</v>
      </c>
      <c r="E168" s="20" t="s">
        <v>38</v>
      </c>
      <c r="F168" s="21">
        <v>4</v>
      </c>
      <c r="G168" s="6">
        <v>7</v>
      </c>
      <c r="H168" s="3"/>
      <c r="I168" s="3"/>
      <c r="L168" s="8"/>
      <c r="M168" s="8"/>
      <c r="N168" s="8"/>
      <c r="O168" s="8"/>
      <c r="P168" s="8"/>
    </row>
    <row r="169" spans="1:16" ht="13.8">
      <c r="A169" s="19" t="s">
        <v>200</v>
      </c>
      <c r="B169" s="47">
        <v>-91.23389439320124</v>
      </c>
      <c r="C169" s="47">
        <v>22.368073150482861</v>
      </c>
      <c r="D169" s="20" t="s">
        <v>12</v>
      </c>
      <c r="E169" s="20" t="s">
        <v>38</v>
      </c>
      <c r="F169" s="21">
        <v>4</v>
      </c>
      <c r="G169" s="6">
        <v>8</v>
      </c>
      <c r="H169" s="3"/>
      <c r="I169" s="3"/>
      <c r="L169" s="8"/>
      <c r="M169" s="8"/>
      <c r="N169" s="8"/>
      <c r="O169" s="8"/>
      <c r="P169" s="8"/>
    </row>
    <row r="170" spans="1:16" ht="13.8">
      <c r="A170" s="19" t="s">
        <v>201</v>
      </c>
      <c r="B170" s="47">
        <v>-100.01661597840824</v>
      </c>
      <c r="C170" s="47">
        <v>22.792571735094779</v>
      </c>
      <c r="D170" s="20" t="s">
        <v>12</v>
      </c>
      <c r="E170" s="20" t="s">
        <v>38</v>
      </c>
      <c r="F170" s="21">
        <v>4</v>
      </c>
      <c r="G170" s="6">
        <v>9</v>
      </c>
      <c r="H170" s="3"/>
      <c r="I170" s="3"/>
      <c r="L170" s="8"/>
      <c r="M170" s="8"/>
      <c r="N170" s="8"/>
      <c r="O170" s="8"/>
      <c r="P170" s="8"/>
    </row>
    <row r="171" spans="1:16" ht="13.8">
      <c r="A171" s="19" t="s">
        <v>202</v>
      </c>
      <c r="B171" s="47">
        <v>-106.12406971786962</v>
      </c>
      <c r="C171" s="47">
        <v>21.807022573618152</v>
      </c>
      <c r="D171" s="20" t="s">
        <v>12</v>
      </c>
      <c r="E171" s="20" t="s">
        <v>38</v>
      </c>
      <c r="F171" s="21">
        <v>4</v>
      </c>
      <c r="G171" s="6">
        <v>10</v>
      </c>
      <c r="H171" s="3"/>
      <c r="I171" s="3"/>
      <c r="L171" s="8"/>
      <c r="M171" s="8"/>
      <c r="N171" s="8"/>
      <c r="O171" s="8"/>
      <c r="P171" s="8"/>
    </row>
    <row r="172" spans="1:16" ht="13.8">
      <c r="A172" s="19" t="s">
        <v>203</v>
      </c>
      <c r="B172" s="48">
        <v>-115.26414698357073</v>
      </c>
      <c r="C172" s="48">
        <v>20.106279604086481</v>
      </c>
      <c r="D172" s="20" t="s">
        <v>64</v>
      </c>
      <c r="E172" s="20" t="s">
        <v>38</v>
      </c>
      <c r="F172" s="21">
        <v>3</v>
      </c>
      <c r="G172" s="6">
        <v>1</v>
      </c>
      <c r="H172" s="3"/>
      <c r="I172" s="3"/>
      <c r="L172" s="8">
        <f>+AVERAGE(C172:C181)</f>
        <v>20.927471621264644</v>
      </c>
      <c r="M172" s="8">
        <f>+AVERAGE(B172:B181)</f>
        <v>-111.92085129530217</v>
      </c>
      <c r="N172" s="8">
        <f t="shared" ref="N172" si="16">+STDEV(C172:C181)/SQRT(COUNT(C172:C181))</f>
        <v>0.20435134699429616</v>
      </c>
      <c r="O172" s="8">
        <f>+STDEV(B172:B181)/SQRT(COUNT(B172:B181))</f>
        <v>0.79754472277016308</v>
      </c>
      <c r="P172" s="12"/>
    </row>
    <row r="173" spans="1:16" ht="13.8">
      <c r="A173" s="19" t="s">
        <v>204</v>
      </c>
      <c r="B173" s="48">
        <v>-113.21441490395489</v>
      </c>
      <c r="C173" s="48">
        <v>20.1201327047498</v>
      </c>
      <c r="D173" s="20" t="s">
        <v>64</v>
      </c>
      <c r="E173" s="20" t="s">
        <v>38</v>
      </c>
      <c r="F173" s="21">
        <v>3</v>
      </c>
      <c r="G173" s="6">
        <v>2</v>
      </c>
      <c r="H173" s="3"/>
      <c r="I173" s="3"/>
      <c r="L173" s="8"/>
      <c r="M173" s="8"/>
      <c r="N173" s="8"/>
      <c r="O173" s="8"/>
      <c r="P173" s="12"/>
    </row>
    <row r="174" spans="1:16" ht="13.8">
      <c r="A174" s="19" t="s">
        <v>205</v>
      </c>
      <c r="B174" s="48">
        <v>-110.50507225022608</v>
      </c>
      <c r="C174" s="48">
        <v>20.469428742903666</v>
      </c>
      <c r="D174" s="20" t="s">
        <v>64</v>
      </c>
      <c r="E174" s="20" t="s">
        <v>38</v>
      </c>
      <c r="F174" s="21">
        <v>3</v>
      </c>
      <c r="G174" s="6">
        <v>3</v>
      </c>
      <c r="H174" s="3"/>
      <c r="I174" s="3"/>
      <c r="L174" s="8"/>
      <c r="M174" s="8"/>
      <c r="N174" s="8"/>
      <c r="O174" s="8"/>
      <c r="P174" s="12"/>
    </row>
    <row r="175" spans="1:16" ht="13.8">
      <c r="A175" s="19" t="s">
        <v>206</v>
      </c>
      <c r="B175" s="48">
        <v>-114.32251665660374</v>
      </c>
      <c r="C175" s="48">
        <v>21.748861539880863</v>
      </c>
      <c r="D175" s="20" t="s">
        <v>64</v>
      </c>
      <c r="E175" s="20" t="s">
        <v>38</v>
      </c>
      <c r="F175" s="21">
        <v>3</v>
      </c>
      <c r="G175" s="6">
        <v>4</v>
      </c>
      <c r="H175" s="3"/>
      <c r="I175" s="3"/>
      <c r="L175" s="8"/>
      <c r="M175" s="8"/>
      <c r="N175" s="8"/>
      <c r="O175" s="8"/>
      <c r="P175" s="12"/>
    </row>
    <row r="176" spans="1:16" ht="13.8">
      <c r="A176" s="19" t="s">
        <v>207</v>
      </c>
      <c r="B176" s="48">
        <v>-113.44795284121219</v>
      </c>
      <c r="C176" s="48">
        <v>20.566400447546954</v>
      </c>
      <c r="D176" s="20" t="s">
        <v>64</v>
      </c>
      <c r="E176" s="20" t="s">
        <v>38</v>
      </c>
      <c r="F176" s="21">
        <v>3</v>
      </c>
      <c r="G176" s="6">
        <v>5</v>
      </c>
      <c r="H176" s="3"/>
      <c r="I176" s="3"/>
      <c r="L176" s="8"/>
      <c r="M176" s="8"/>
      <c r="N176" s="8"/>
      <c r="O176" s="8"/>
      <c r="P176" s="12"/>
    </row>
    <row r="177" spans="1:16" ht="13.8">
      <c r="A177" s="19" t="s">
        <v>208</v>
      </c>
      <c r="B177" s="48">
        <v>-114.46232308370742</v>
      </c>
      <c r="C177" s="48">
        <v>21.165052297640692</v>
      </c>
      <c r="D177" s="20" t="s">
        <v>64</v>
      </c>
      <c r="E177" s="20" t="s">
        <v>38</v>
      </c>
      <c r="F177" s="21">
        <v>3</v>
      </c>
      <c r="G177" s="6">
        <v>6</v>
      </c>
      <c r="H177" s="3"/>
      <c r="I177" s="3"/>
      <c r="L177" s="8"/>
      <c r="M177" s="8"/>
      <c r="N177" s="8"/>
      <c r="O177" s="8"/>
      <c r="P177" s="12"/>
    </row>
    <row r="178" spans="1:16" ht="13.8">
      <c r="A178" s="19" t="s">
        <v>209</v>
      </c>
      <c r="B178" s="48">
        <v>-109.3950621707931</v>
      </c>
      <c r="C178" s="48">
        <v>21.279835131708253</v>
      </c>
      <c r="D178" s="20" t="s">
        <v>64</v>
      </c>
      <c r="E178" s="20" t="s">
        <v>38</v>
      </c>
      <c r="F178" s="21">
        <v>3</v>
      </c>
      <c r="G178" s="6">
        <v>7</v>
      </c>
      <c r="H178" s="3"/>
      <c r="I178" s="3"/>
      <c r="L178" s="8"/>
      <c r="M178" s="8"/>
      <c r="N178" s="8"/>
      <c r="O178" s="8"/>
      <c r="P178" s="12"/>
    </row>
    <row r="179" spans="1:16" ht="13.8">
      <c r="A179" s="19" t="s">
        <v>210</v>
      </c>
      <c r="B179" s="48">
        <v>-109.6447607132493</v>
      </c>
      <c r="C179" s="48">
        <v>20.508019523322936</v>
      </c>
      <c r="D179" s="20" t="s">
        <v>64</v>
      </c>
      <c r="E179" s="20" t="s">
        <v>38</v>
      </c>
      <c r="F179" s="21">
        <v>3</v>
      </c>
      <c r="G179" s="6">
        <v>8</v>
      </c>
      <c r="H179" s="3"/>
      <c r="I179" s="3"/>
      <c r="L179" s="8"/>
      <c r="M179" s="8"/>
      <c r="N179" s="8"/>
      <c r="O179" s="8"/>
      <c r="P179" s="12"/>
    </row>
    <row r="180" spans="1:16" ht="13.8">
      <c r="A180" s="19" t="s">
        <v>211</v>
      </c>
      <c r="B180" s="48">
        <v>-108.00660830220974</v>
      </c>
      <c r="C180" s="48">
        <v>21.631110184242587</v>
      </c>
      <c r="D180" s="20" t="s">
        <v>64</v>
      </c>
      <c r="E180" s="20" t="s">
        <v>38</v>
      </c>
      <c r="F180" s="21">
        <v>3</v>
      </c>
      <c r="G180" s="6">
        <v>9</v>
      </c>
      <c r="H180" s="3"/>
      <c r="I180" s="3"/>
      <c r="L180" s="8"/>
      <c r="M180" s="8"/>
      <c r="N180" s="8"/>
      <c r="O180" s="8"/>
      <c r="P180" s="12"/>
    </row>
    <row r="181" spans="1:16" ht="13.8">
      <c r="A181" s="19" t="s">
        <v>212</v>
      </c>
      <c r="B181" s="48">
        <v>-110.9456550474944</v>
      </c>
      <c r="C181" s="48">
        <v>21.679596036564227</v>
      </c>
      <c r="D181" s="20" t="s">
        <v>64</v>
      </c>
      <c r="E181" s="20" t="s">
        <v>38</v>
      </c>
      <c r="F181" s="21">
        <v>3</v>
      </c>
      <c r="G181" s="6">
        <v>10</v>
      </c>
      <c r="H181" s="3"/>
      <c r="I181" s="3"/>
      <c r="L181" s="8"/>
      <c r="M181" s="8"/>
      <c r="N181" s="8"/>
      <c r="O181" s="8"/>
      <c r="P181" s="12"/>
    </row>
    <row r="182" spans="1:16" ht="13.8">
      <c r="A182" s="19" t="s">
        <v>213</v>
      </c>
      <c r="B182" s="47">
        <v>-89.980759804959035</v>
      </c>
      <c r="C182" s="47">
        <v>20.531877641131999</v>
      </c>
      <c r="D182" s="20" t="s">
        <v>64</v>
      </c>
      <c r="E182" s="20" t="s">
        <v>26</v>
      </c>
      <c r="F182" s="21">
        <v>3</v>
      </c>
      <c r="G182" s="6">
        <v>1</v>
      </c>
      <c r="H182" s="3"/>
      <c r="I182" s="3"/>
      <c r="K182" s="3" t="s">
        <v>132</v>
      </c>
      <c r="L182" s="8">
        <f>+AVERAGE(C182:C191)</f>
        <v>20.708009920994286</v>
      </c>
      <c r="M182" s="8">
        <f>+AVERAGE(B182:B191)</f>
        <v>-95.627555493225799</v>
      </c>
      <c r="N182" s="8">
        <f t="shared" ref="N182" si="17">+STDEV(C182:C191)/SQRT(COUNT(C182:C191))</f>
        <v>0.15130899107500775</v>
      </c>
      <c r="O182" s="8">
        <f>+STDEV(B182:B191)/SQRT(COUNT(B182:B191))</f>
        <v>1.1597326411064495</v>
      </c>
      <c r="P182" s="12"/>
    </row>
    <row r="183" spans="1:16" ht="13.8">
      <c r="A183" s="19" t="s">
        <v>214</v>
      </c>
      <c r="B183" s="47">
        <v>-96.150466258702579</v>
      </c>
      <c r="C183" s="47">
        <v>20.662492590243353</v>
      </c>
      <c r="D183" s="20" t="s">
        <v>64</v>
      </c>
      <c r="E183" s="20" t="s">
        <v>26</v>
      </c>
      <c r="F183" s="21">
        <v>3</v>
      </c>
      <c r="G183" s="6">
        <v>2</v>
      </c>
      <c r="H183" s="3"/>
      <c r="I183" s="3"/>
      <c r="L183" s="8"/>
      <c r="M183" s="8"/>
      <c r="N183" s="8"/>
      <c r="O183" s="8"/>
      <c r="P183" s="12"/>
    </row>
    <row r="184" spans="1:16" ht="13.8">
      <c r="A184" s="19" t="s">
        <v>215</v>
      </c>
      <c r="B184" s="47">
        <v>-96.394508589339182</v>
      </c>
      <c r="C184" s="47">
        <v>20.169718009505033</v>
      </c>
      <c r="D184" s="20" t="s">
        <v>64</v>
      </c>
      <c r="E184" s="20" t="s">
        <v>26</v>
      </c>
      <c r="F184" s="21">
        <v>3</v>
      </c>
      <c r="G184" s="6">
        <v>3</v>
      </c>
      <c r="H184" s="3"/>
      <c r="I184" s="3"/>
      <c r="L184" s="8"/>
      <c r="M184" s="8"/>
      <c r="N184" s="8"/>
      <c r="O184" s="8"/>
      <c r="P184" s="12"/>
    </row>
    <row r="185" spans="1:16" ht="13.8">
      <c r="A185" s="19" t="s">
        <v>216</v>
      </c>
      <c r="B185" s="47">
        <v>-93.221356566401937</v>
      </c>
      <c r="C185" s="47">
        <v>21.113707868991689</v>
      </c>
      <c r="D185" s="20" t="s">
        <v>64</v>
      </c>
      <c r="E185" s="20" t="s">
        <v>26</v>
      </c>
      <c r="F185" s="21">
        <v>3</v>
      </c>
      <c r="G185" s="6">
        <v>4</v>
      </c>
      <c r="H185" s="3"/>
      <c r="I185" s="3"/>
      <c r="L185" s="8"/>
      <c r="M185" s="8"/>
      <c r="N185" s="8"/>
      <c r="O185" s="8"/>
      <c r="P185" s="12"/>
    </row>
    <row r="186" spans="1:16" ht="13.8">
      <c r="A186" s="19" t="s">
        <v>217</v>
      </c>
      <c r="B186" s="47">
        <v>-93.038655766988427</v>
      </c>
      <c r="C186" s="47">
        <v>20.625880824204565</v>
      </c>
      <c r="D186" s="20" t="s">
        <v>64</v>
      </c>
      <c r="E186" s="20" t="s">
        <v>26</v>
      </c>
      <c r="F186" s="21">
        <v>3</v>
      </c>
      <c r="G186" s="6">
        <v>5</v>
      </c>
      <c r="H186" s="3"/>
      <c r="I186" s="3"/>
      <c r="L186" s="8"/>
      <c r="M186" s="8"/>
      <c r="N186" s="8"/>
      <c r="O186" s="8"/>
      <c r="P186" s="12"/>
    </row>
    <row r="187" spans="1:16" ht="13.8">
      <c r="A187" s="19" t="s">
        <v>218</v>
      </c>
      <c r="B187" s="47">
        <v>-98.049440522372521</v>
      </c>
      <c r="C187" s="47">
        <v>20.248878584724046</v>
      </c>
      <c r="D187" s="20" t="s">
        <v>64</v>
      </c>
      <c r="E187" s="20" t="s">
        <v>26</v>
      </c>
      <c r="F187" s="21">
        <v>3</v>
      </c>
      <c r="G187" s="6">
        <v>6</v>
      </c>
      <c r="H187" s="3"/>
      <c r="I187" s="3"/>
      <c r="L187" s="8"/>
      <c r="M187" s="8"/>
      <c r="N187" s="8"/>
      <c r="O187" s="8"/>
      <c r="P187" s="12"/>
    </row>
    <row r="188" spans="1:16" ht="13.8">
      <c r="A188" s="19" t="s">
        <v>219</v>
      </c>
      <c r="B188" s="47">
        <v>-103.84222664805151</v>
      </c>
      <c r="C188" s="47">
        <v>20.520003554849147</v>
      </c>
      <c r="D188" s="20" t="s">
        <v>64</v>
      </c>
      <c r="E188" s="20" t="s">
        <v>26</v>
      </c>
      <c r="F188" s="21">
        <v>3</v>
      </c>
      <c r="G188" s="6">
        <v>7</v>
      </c>
      <c r="H188" s="3"/>
      <c r="I188" s="3"/>
      <c r="L188" s="8"/>
      <c r="M188" s="8"/>
      <c r="N188" s="8"/>
      <c r="O188" s="8"/>
      <c r="P188" s="12"/>
    </row>
    <row r="189" spans="1:16" ht="13.8">
      <c r="A189" s="19" t="s">
        <v>220</v>
      </c>
      <c r="B189" s="47">
        <v>-94.421728497883237</v>
      </c>
      <c r="C189" s="47">
        <v>21.666842388334501</v>
      </c>
      <c r="D189" s="20" t="s">
        <v>64</v>
      </c>
      <c r="E189" s="20" t="s">
        <v>26</v>
      </c>
      <c r="F189" s="21">
        <v>3</v>
      </c>
      <c r="G189" s="6">
        <v>8</v>
      </c>
      <c r="H189" s="3"/>
      <c r="I189" s="3"/>
      <c r="L189" s="8"/>
      <c r="M189" s="8"/>
      <c r="N189" s="8"/>
      <c r="O189" s="8"/>
      <c r="P189" s="12"/>
    </row>
    <row r="190" spans="1:16" ht="13.8">
      <c r="A190" s="19" t="s">
        <v>221</v>
      </c>
      <c r="B190" s="47">
        <v>-96.296926041350957</v>
      </c>
      <c r="C190" s="47">
        <v>20.327049652752812</v>
      </c>
      <c r="D190" s="20" t="s">
        <v>64</v>
      </c>
      <c r="E190" s="20" t="s">
        <v>26</v>
      </c>
      <c r="F190" s="21">
        <v>3</v>
      </c>
      <c r="G190" s="6">
        <v>9</v>
      </c>
      <c r="H190" s="3"/>
      <c r="I190" s="3"/>
      <c r="L190" s="8"/>
      <c r="M190" s="8"/>
      <c r="N190" s="8"/>
      <c r="O190" s="8"/>
      <c r="P190" s="12"/>
    </row>
    <row r="191" spans="1:16" ht="13.8">
      <c r="A191" s="19" t="s">
        <v>222</v>
      </c>
      <c r="B191" s="47">
        <v>-94.87948623620872</v>
      </c>
      <c r="C191" s="47">
        <v>21.213648095205691</v>
      </c>
      <c r="D191" s="20" t="s">
        <v>64</v>
      </c>
      <c r="E191" s="20" t="s">
        <v>26</v>
      </c>
      <c r="F191" s="21">
        <v>3</v>
      </c>
      <c r="G191" s="6">
        <v>10</v>
      </c>
      <c r="H191" s="3"/>
      <c r="I191" s="3"/>
      <c r="L191" s="8"/>
      <c r="M191" s="8"/>
      <c r="N191" s="8"/>
      <c r="O191" s="8"/>
      <c r="P191" s="12"/>
    </row>
    <row r="192" spans="1:16" s="31" customFormat="1" ht="13.8">
      <c r="A192" s="28" t="s">
        <v>223</v>
      </c>
      <c r="B192" s="50">
        <v>-106.86857504567652</v>
      </c>
      <c r="C192" s="50">
        <v>20.977045931495546</v>
      </c>
      <c r="D192" s="29" t="s">
        <v>64</v>
      </c>
      <c r="E192" s="29" t="s">
        <v>26</v>
      </c>
      <c r="F192" s="30">
        <v>4</v>
      </c>
      <c r="G192" s="6">
        <v>1</v>
      </c>
      <c r="J192" s="3"/>
      <c r="K192" s="31" t="s">
        <v>183</v>
      </c>
      <c r="L192" s="8">
        <f>+AVERAGE(C192:C201)</f>
        <v>21.310410903886588</v>
      </c>
      <c r="M192" s="8">
        <f>+AVERAGE(B192:B201)</f>
        <v>-104.58520531443087</v>
      </c>
      <c r="N192" s="8">
        <f t="shared" ref="N192" si="18">+STDEV(C192:C201)/SQRT(COUNT(C192:C201))</f>
        <v>0.13276324085320809</v>
      </c>
      <c r="O192" s="8">
        <f>+STDEV(B192:B201)/SQRT(COUNT(B192:B201))</f>
        <v>1.1700964499810298</v>
      </c>
    </row>
    <row r="193" spans="1:15" ht="13.8">
      <c r="A193" s="19" t="s">
        <v>224</v>
      </c>
      <c r="B193" s="47">
        <v>-110.30801601959863</v>
      </c>
      <c r="C193" s="47">
        <v>20.944392194217706</v>
      </c>
      <c r="D193" s="20" t="s">
        <v>64</v>
      </c>
      <c r="E193" s="20" t="s">
        <v>26</v>
      </c>
      <c r="F193" s="21">
        <v>4</v>
      </c>
      <c r="G193" s="6">
        <v>2</v>
      </c>
      <c r="H193" s="3"/>
      <c r="I193" s="3"/>
      <c r="L193" s="8"/>
      <c r="M193" s="8"/>
      <c r="N193" s="8"/>
      <c r="O193" s="8"/>
    </row>
    <row r="194" spans="1:15" ht="13.8">
      <c r="A194" s="19" t="s">
        <v>225</v>
      </c>
      <c r="B194" s="47">
        <v>-104.0027667877826</v>
      </c>
      <c r="C194" s="47">
        <v>20.651498065907383</v>
      </c>
      <c r="D194" s="20" t="s">
        <v>64</v>
      </c>
      <c r="E194" s="20" t="s">
        <v>26</v>
      </c>
      <c r="F194" s="21">
        <v>4</v>
      </c>
      <c r="G194" s="6">
        <v>3</v>
      </c>
      <c r="H194" s="3"/>
      <c r="I194" s="3"/>
      <c r="L194" s="8"/>
      <c r="M194" s="8"/>
      <c r="N194" s="8"/>
      <c r="O194" s="8"/>
    </row>
    <row r="195" spans="1:15" ht="13.8">
      <c r="A195" s="19" t="s">
        <v>226</v>
      </c>
      <c r="B195" s="47">
        <v>-108.94772286518096</v>
      </c>
      <c r="C195" s="47">
        <v>21.358995706927253</v>
      </c>
      <c r="D195" s="20" t="s">
        <v>64</v>
      </c>
      <c r="E195" s="20" t="s">
        <v>26</v>
      </c>
      <c r="F195" s="21">
        <v>4</v>
      </c>
      <c r="G195" s="6">
        <v>4</v>
      </c>
      <c r="H195" s="3"/>
      <c r="I195" s="3"/>
      <c r="L195" s="8"/>
      <c r="M195" s="8"/>
      <c r="N195" s="8"/>
      <c r="O195" s="8"/>
    </row>
    <row r="196" spans="1:15" ht="13.8">
      <c r="A196" s="19" t="s">
        <v>227</v>
      </c>
      <c r="B196" s="47">
        <v>-107.29657320144952</v>
      </c>
      <c r="C196" s="47">
        <v>21.077975664899782</v>
      </c>
      <c r="D196" s="20" t="s">
        <v>64</v>
      </c>
      <c r="E196" s="20" t="s">
        <v>26</v>
      </c>
      <c r="F196" s="21">
        <v>4</v>
      </c>
      <c r="G196" s="6">
        <v>5</v>
      </c>
      <c r="H196" s="3"/>
      <c r="I196" s="3"/>
      <c r="L196" s="8"/>
      <c r="M196" s="8"/>
      <c r="N196" s="8"/>
      <c r="O196" s="8"/>
    </row>
    <row r="197" spans="1:15" ht="13.8">
      <c r="A197" s="19" t="s">
        <v>228</v>
      </c>
      <c r="B197" s="47">
        <v>-102.22497987097125</v>
      </c>
      <c r="C197" s="47">
        <v>21.602414475725702</v>
      </c>
      <c r="D197" s="20" t="s">
        <v>64</v>
      </c>
      <c r="E197" s="20" t="s">
        <v>26</v>
      </c>
      <c r="F197" s="21">
        <v>4</v>
      </c>
      <c r="G197" s="6">
        <v>6</v>
      </c>
      <c r="H197" s="3"/>
      <c r="I197" s="3"/>
      <c r="L197" s="8"/>
      <c r="M197" s="8"/>
      <c r="N197" s="8"/>
      <c r="O197" s="8"/>
    </row>
    <row r="198" spans="1:15" ht="13.8">
      <c r="A198" s="19" t="s">
        <v>229</v>
      </c>
      <c r="B198" s="47">
        <v>-104.6506351349266</v>
      </c>
      <c r="C198" s="47">
        <v>21.735008439217538</v>
      </c>
      <c r="D198" s="20" t="s">
        <v>64</v>
      </c>
      <c r="E198" s="20" t="s">
        <v>26</v>
      </c>
      <c r="F198" s="21">
        <v>4</v>
      </c>
      <c r="G198" s="6">
        <v>7</v>
      </c>
      <c r="H198" s="3"/>
      <c r="I198" s="3"/>
      <c r="L198" s="8"/>
      <c r="M198" s="8"/>
      <c r="N198" s="8"/>
      <c r="O198" s="8"/>
    </row>
    <row r="199" spans="1:15" ht="13.8">
      <c r="A199" s="19" t="s">
        <v>230</v>
      </c>
      <c r="B199" s="47">
        <v>-99.082979993374863</v>
      </c>
      <c r="C199" s="47">
        <v>21.24916040881088</v>
      </c>
      <c r="D199" s="20" t="s">
        <v>64</v>
      </c>
      <c r="E199" s="20" t="s">
        <v>26</v>
      </c>
      <c r="F199" s="21">
        <v>4</v>
      </c>
      <c r="G199" s="6">
        <v>8</v>
      </c>
      <c r="H199" s="3"/>
      <c r="I199" s="3"/>
      <c r="L199" s="8"/>
      <c r="M199" s="8"/>
      <c r="N199" s="8"/>
      <c r="O199" s="8"/>
    </row>
    <row r="200" spans="1:15" ht="13.8">
      <c r="A200" s="19" t="s">
        <v>231</v>
      </c>
      <c r="B200" s="47">
        <v>-100.89126575446585</v>
      </c>
      <c r="C200" s="47">
        <v>21.447061846858396</v>
      </c>
      <c r="D200" s="20" t="s">
        <v>64</v>
      </c>
      <c r="E200" s="20" t="s">
        <v>26</v>
      </c>
      <c r="F200" s="21">
        <v>4</v>
      </c>
      <c r="G200" s="6">
        <v>9</v>
      </c>
      <c r="H200" s="3"/>
      <c r="I200" s="3"/>
      <c r="L200" s="8"/>
      <c r="M200" s="8"/>
      <c r="N200" s="8"/>
      <c r="O200" s="8"/>
    </row>
    <row r="201" spans="1:15" ht="13.8">
      <c r="A201" s="19" t="s">
        <v>232</v>
      </c>
      <c r="B201" s="47">
        <v>-101.57853847088205</v>
      </c>
      <c r="C201" s="47">
        <v>22.060556304805694</v>
      </c>
      <c r="D201" s="20" t="s">
        <v>64</v>
      </c>
      <c r="E201" s="20" t="s">
        <v>26</v>
      </c>
      <c r="F201" s="21">
        <v>4</v>
      </c>
      <c r="G201" s="6">
        <v>10</v>
      </c>
      <c r="H201" s="3"/>
      <c r="I201" s="3"/>
      <c r="L201" s="8"/>
      <c r="M201" s="8"/>
      <c r="N201" s="8"/>
      <c r="O201" s="8"/>
    </row>
    <row r="202" spans="1:15" s="31" customFormat="1" ht="13.8">
      <c r="A202" s="28" t="s">
        <v>233</v>
      </c>
      <c r="B202" s="50">
        <v>-96.788440533195455</v>
      </c>
      <c r="C202" s="50">
        <v>19.614384585295038</v>
      </c>
      <c r="D202" s="29" t="s">
        <v>64</v>
      </c>
      <c r="E202" s="29" t="s">
        <v>38</v>
      </c>
      <c r="F202" s="30">
        <v>4</v>
      </c>
      <c r="G202" s="6">
        <v>1</v>
      </c>
      <c r="J202" s="3"/>
      <c r="K202" s="31" t="s">
        <v>183</v>
      </c>
      <c r="L202" s="8">
        <f>+AVERAGE(C202:C211)</f>
        <v>20.282697741581501</v>
      </c>
      <c r="M202" s="8">
        <f>+AVERAGE(B202:B211)</f>
        <v>-97.126068042885436</v>
      </c>
      <c r="N202" s="8">
        <f t="shared" ref="N202" si="19">+STDEV(C202:C211)/SQRT(COUNT(C202:C211))</f>
        <v>0.17355084807049825</v>
      </c>
      <c r="O202" s="8">
        <f>+STDEV(B202:B211)/SQRT(COUNT(B202:B211))</f>
        <v>0.6778075675513684</v>
      </c>
    </row>
    <row r="203" spans="1:15" ht="13.8">
      <c r="A203" s="19" t="s">
        <v>234</v>
      </c>
      <c r="B203" s="47">
        <v>-99.88666064362269</v>
      </c>
      <c r="C203" s="47">
        <v>20.521762678742899</v>
      </c>
      <c r="D203" s="20" t="s">
        <v>64</v>
      </c>
      <c r="E203" s="20" t="s">
        <v>38</v>
      </c>
      <c r="F203" s="21">
        <v>4</v>
      </c>
      <c r="G203" s="6">
        <v>2</v>
      </c>
      <c r="H203" s="3"/>
      <c r="I203" s="3"/>
      <c r="L203" s="8"/>
      <c r="M203" s="8"/>
      <c r="N203" s="8"/>
      <c r="O203" s="8"/>
    </row>
    <row r="204" spans="1:15" ht="13.8">
      <c r="A204" s="19" t="s">
        <v>235</v>
      </c>
      <c r="B204" s="47">
        <v>-99.738816894252551</v>
      </c>
      <c r="C204" s="47">
        <v>19.462989985188688</v>
      </c>
      <c r="D204" s="20" t="s">
        <v>64</v>
      </c>
      <c r="E204" s="20" t="s">
        <v>38</v>
      </c>
      <c r="F204" s="21">
        <v>4</v>
      </c>
      <c r="G204" s="6">
        <v>3</v>
      </c>
      <c r="H204" s="3"/>
      <c r="I204" s="3"/>
      <c r="L204" s="8"/>
      <c r="M204" s="8"/>
      <c r="N204" s="8"/>
      <c r="O204" s="8"/>
    </row>
    <row r="205" spans="1:15" ht="13.8">
      <c r="A205" s="19" t="s">
        <v>236</v>
      </c>
      <c r="B205" s="47">
        <v>-98.250089908836628</v>
      </c>
      <c r="C205" s="47">
        <v>20.287249474656587</v>
      </c>
      <c r="D205" s="20" t="s">
        <v>64</v>
      </c>
      <c r="E205" s="20" t="s">
        <v>38</v>
      </c>
      <c r="F205" s="21">
        <v>4</v>
      </c>
      <c r="G205" s="6">
        <v>4</v>
      </c>
      <c r="H205" s="3"/>
      <c r="I205" s="3"/>
      <c r="L205" s="8"/>
      <c r="M205" s="8"/>
      <c r="N205" s="8"/>
      <c r="O205" s="8"/>
    </row>
    <row r="206" spans="1:15" ht="13.8">
      <c r="A206" s="19" t="s">
        <v>237</v>
      </c>
      <c r="B206" s="47">
        <v>-94.016776396651721</v>
      </c>
      <c r="C206" s="47">
        <v>20.78695060572657</v>
      </c>
      <c r="D206" s="20" t="s">
        <v>64</v>
      </c>
      <c r="E206" s="20" t="s">
        <v>38</v>
      </c>
      <c r="F206" s="21">
        <v>4</v>
      </c>
      <c r="G206" s="6">
        <v>5</v>
      </c>
      <c r="H206" s="3"/>
      <c r="I206" s="3"/>
      <c r="L206" s="8"/>
      <c r="M206" s="8"/>
      <c r="N206" s="8"/>
      <c r="O206" s="8"/>
    </row>
    <row r="207" spans="1:15" ht="13.8">
      <c r="A207" s="19" t="s">
        <v>238</v>
      </c>
      <c r="B207" s="47">
        <v>-96.911372881572817</v>
      </c>
      <c r="C207" s="47">
        <v>20.35552547078299</v>
      </c>
      <c r="D207" s="20" t="s">
        <v>64</v>
      </c>
      <c r="E207" s="20" t="s">
        <v>38</v>
      </c>
      <c r="F207" s="21">
        <v>4</v>
      </c>
      <c r="G207" s="6">
        <v>6</v>
      </c>
      <c r="H207" s="3"/>
      <c r="I207" s="3"/>
      <c r="L207" s="8"/>
      <c r="M207" s="8"/>
      <c r="N207" s="8"/>
      <c r="O207" s="8"/>
    </row>
    <row r="208" spans="1:15" ht="13.8">
      <c r="A208" s="19" t="s">
        <v>239</v>
      </c>
      <c r="B208" s="47">
        <v>-93.383160327922496</v>
      </c>
      <c r="C208" s="47">
        <v>19.917173785507732</v>
      </c>
      <c r="D208" s="20" t="s">
        <v>64</v>
      </c>
      <c r="E208" s="20" t="s">
        <v>38</v>
      </c>
      <c r="F208" s="21">
        <v>4</v>
      </c>
      <c r="G208" s="6">
        <v>7</v>
      </c>
      <c r="H208" s="3"/>
      <c r="I208" s="3"/>
      <c r="L208" s="8"/>
      <c r="M208" s="8"/>
      <c r="N208" s="8"/>
      <c r="O208" s="8"/>
    </row>
    <row r="209" spans="1:17" ht="13.8">
      <c r="A209" s="19" t="s">
        <v>240</v>
      </c>
      <c r="B209" s="47">
        <v>-98.349432670795906</v>
      </c>
      <c r="C209" s="47">
        <v>19.908268220795595</v>
      </c>
      <c r="D209" s="20" t="s">
        <v>64</v>
      </c>
      <c r="E209" s="20" t="s">
        <v>38</v>
      </c>
      <c r="F209" s="21">
        <v>4</v>
      </c>
      <c r="G209" s="6">
        <v>8</v>
      </c>
      <c r="H209" s="3"/>
      <c r="I209" s="3"/>
      <c r="L209" s="8"/>
      <c r="M209" s="8"/>
      <c r="N209" s="8"/>
      <c r="O209" s="8"/>
    </row>
    <row r="210" spans="1:17" ht="13.8">
      <c r="A210" s="19" t="s">
        <v>241</v>
      </c>
      <c r="B210" s="47">
        <v>-96.611894517464037</v>
      </c>
      <c r="C210" s="47">
        <v>21.062033604612619</v>
      </c>
      <c r="D210" s="20" t="s">
        <v>64</v>
      </c>
      <c r="E210" s="20" t="s">
        <v>38</v>
      </c>
      <c r="F210" s="21">
        <v>4</v>
      </c>
      <c r="G210" s="6">
        <v>9</v>
      </c>
      <c r="H210" s="3"/>
      <c r="I210" s="3"/>
      <c r="L210" s="8"/>
      <c r="M210" s="8"/>
      <c r="N210" s="8"/>
      <c r="O210" s="8"/>
    </row>
    <row r="211" spans="1:17" ht="13.8">
      <c r="A211" s="19" t="s">
        <v>242</v>
      </c>
      <c r="B211" s="47">
        <v>-97.32403565454004</v>
      </c>
      <c r="C211" s="47">
        <v>20.910639004506269</v>
      </c>
      <c r="D211" s="20" t="s">
        <v>64</v>
      </c>
      <c r="E211" s="20" t="s">
        <v>38</v>
      </c>
      <c r="F211" s="21">
        <v>4</v>
      </c>
      <c r="G211" s="6">
        <v>10</v>
      </c>
      <c r="H211" s="3"/>
      <c r="I211" s="3"/>
      <c r="L211" s="8"/>
      <c r="M211" s="8"/>
      <c r="N211" s="8"/>
      <c r="O211" s="8"/>
    </row>
    <row r="212" spans="1:17" ht="13.8">
      <c r="A212" s="32" t="s">
        <v>243</v>
      </c>
      <c r="B212" s="51">
        <v>-108.70590011124183</v>
      </c>
      <c r="C212" s="56">
        <v>18.610321737985039</v>
      </c>
      <c r="D212" s="35" t="s">
        <v>64</v>
      </c>
      <c r="E212" s="35" t="s">
        <v>38</v>
      </c>
      <c r="F212" s="36">
        <v>5</v>
      </c>
      <c r="G212" s="6">
        <v>1</v>
      </c>
      <c r="H212" s="3"/>
      <c r="I212" s="3"/>
      <c r="J212" s="36"/>
      <c r="K212" s="36" t="s">
        <v>244</v>
      </c>
      <c r="L212" s="8">
        <f>+AVERAGE(C212:C221)</f>
        <v>19.82629507037937</v>
      </c>
      <c r="M212" s="8">
        <f>+AVERAGE(B212:B221)</f>
        <v>-106.54949171165265</v>
      </c>
      <c r="N212" s="8">
        <f t="shared" ref="N212" si="20">+STDEV(C212:C221)/SQRT(COUNT(C212:C221))</f>
        <v>0.30327790851775388</v>
      </c>
      <c r="O212" s="8">
        <f>+STDEV(B212:B221)/SQRT(COUNT(B212:B221))</f>
        <v>2.8894284660008123</v>
      </c>
      <c r="P212" s="12"/>
    </row>
    <row r="213" spans="1:17" ht="13.8">
      <c r="A213" s="37" t="s">
        <v>245</v>
      </c>
      <c r="B213" s="52">
        <v>-106.12761847510004</v>
      </c>
      <c r="C213" s="57">
        <v>20.037134725661968</v>
      </c>
      <c r="D213" s="20" t="s">
        <v>64</v>
      </c>
      <c r="E213" s="20" t="s">
        <v>38</v>
      </c>
      <c r="F213" s="21">
        <v>5</v>
      </c>
      <c r="G213" s="6">
        <v>2</v>
      </c>
      <c r="H213" s="3"/>
      <c r="I213" s="3"/>
      <c r="L213" s="8"/>
      <c r="M213" s="8"/>
      <c r="N213" s="8"/>
      <c r="O213" s="8"/>
      <c r="P213" s="12"/>
    </row>
    <row r="214" spans="1:17" ht="13.8">
      <c r="A214" s="37" t="s">
        <v>246</v>
      </c>
      <c r="B214" s="52">
        <v>-105.57486354671187</v>
      </c>
      <c r="C214" s="57">
        <v>20.672886995238485</v>
      </c>
      <c r="D214" s="20" t="s">
        <v>64</v>
      </c>
      <c r="E214" s="20" t="s">
        <v>38</v>
      </c>
      <c r="F214" s="21">
        <v>5</v>
      </c>
      <c r="G214" s="6">
        <v>3</v>
      </c>
      <c r="H214" s="3"/>
      <c r="I214" s="3"/>
      <c r="L214" s="8"/>
      <c r="M214" s="8"/>
      <c r="N214" s="8"/>
      <c r="O214" s="8"/>
      <c r="P214" s="12"/>
    </row>
    <row r="215" spans="1:17" ht="13.8">
      <c r="A215" s="37" t="s">
        <v>247</v>
      </c>
      <c r="B215" s="52">
        <v>-101.15410791398745</v>
      </c>
      <c r="C215" s="57">
        <v>21.767454481313248</v>
      </c>
      <c r="D215" s="20" t="s">
        <v>64</v>
      </c>
      <c r="E215" s="20" t="s">
        <v>38</v>
      </c>
      <c r="F215" s="21">
        <v>5</v>
      </c>
      <c r="G215" s="6">
        <v>4</v>
      </c>
      <c r="H215" s="3"/>
      <c r="I215" s="3"/>
      <c r="L215" s="8"/>
      <c r="M215" s="8"/>
      <c r="N215" s="8"/>
      <c r="O215" s="8"/>
      <c r="P215" s="12"/>
    </row>
    <row r="216" spans="1:17" ht="13.8">
      <c r="A216" s="37" t="s">
        <v>248</v>
      </c>
      <c r="B216" s="52">
        <v>-107.61615312540242</v>
      </c>
      <c r="C216" s="57">
        <v>20.172415525846631</v>
      </c>
      <c r="D216" s="20" t="s">
        <v>64</v>
      </c>
      <c r="E216" s="20" t="s">
        <v>38</v>
      </c>
      <c r="F216" s="21">
        <v>5</v>
      </c>
      <c r="G216" s="6">
        <v>5</v>
      </c>
      <c r="H216" s="3"/>
      <c r="I216" s="3"/>
      <c r="L216" s="8"/>
      <c r="M216" s="8"/>
      <c r="N216" s="8"/>
      <c r="O216" s="8"/>
      <c r="P216" s="12"/>
    </row>
    <row r="217" spans="1:17" ht="13.8">
      <c r="A217" s="37" t="s">
        <v>249</v>
      </c>
      <c r="B217" s="52">
        <v>-109.48810117242547</v>
      </c>
      <c r="C217" s="57">
        <v>19.927123920638838</v>
      </c>
      <c r="D217" s="20" t="s">
        <v>64</v>
      </c>
      <c r="E217" s="20" t="s">
        <v>38</v>
      </c>
      <c r="F217" s="21">
        <v>5</v>
      </c>
      <c r="G217" s="6">
        <v>6</v>
      </c>
      <c r="H217" s="3"/>
      <c r="I217" s="3"/>
      <c r="L217" s="8"/>
      <c r="M217" s="8"/>
      <c r="N217" s="8"/>
      <c r="O217" s="8"/>
      <c r="P217" s="12"/>
    </row>
    <row r="218" spans="1:17" ht="13.8">
      <c r="A218" s="37" t="s">
        <v>250</v>
      </c>
      <c r="B218" s="52">
        <v>-110.16937437011683</v>
      </c>
      <c r="C218" s="57">
        <v>19.674910534147664</v>
      </c>
      <c r="D218" s="20" t="s">
        <v>64</v>
      </c>
      <c r="E218" s="20" t="s">
        <v>38</v>
      </c>
      <c r="F218" s="21">
        <v>5</v>
      </c>
      <c r="G218" s="6">
        <v>7</v>
      </c>
      <c r="H218" s="3"/>
      <c r="I218" s="3"/>
      <c r="L218" s="8"/>
      <c r="M218" s="8"/>
      <c r="N218" s="8"/>
      <c r="O218" s="8"/>
      <c r="P218" s="12"/>
    </row>
    <row r="219" spans="1:17" ht="13.8">
      <c r="A219" s="37" t="s">
        <v>251</v>
      </c>
      <c r="B219" s="52">
        <v>-116.33981046827077</v>
      </c>
      <c r="C219" s="57">
        <v>19.805372770037554</v>
      </c>
      <c r="D219" s="20" t="s">
        <v>64</v>
      </c>
      <c r="E219" s="20" t="s">
        <v>38</v>
      </c>
      <c r="F219" s="21">
        <v>5</v>
      </c>
      <c r="G219" s="6">
        <v>8</v>
      </c>
      <c r="H219" s="3"/>
      <c r="I219" s="3"/>
      <c r="L219" s="8"/>
      <c r="M219" s="8"/>
      <c r="N219" s="8"/>
      <c r="O219" s="8"/>
      <c r="P219" s="12"/>
    </row>
    <row r="220" spans="1:17" ht="13.8">
      <c r="A220" s="37" t="s">
        <v>252</v>
      </c>
      <c r="B220" s="52">
        <v>-84.095366998445016</v>
      </c>
      <c r="C220" s="57">
        <v>18.779897531603226</v>
      </c>
      <c r="D220" s="20" t="s">
        <v>64</v>
      </c>
      <c r="E220" s="20" t="s">
        <v>38</v>
      </c>
      <c r="F220" s="21">
        <v>5</v>
      </c>
      <c r="G220" s="6">
        <v>9</v>
      </c>
      <c r="H220" s="3"/>
      <c r="I220" s="3"/>
      <c r="L220" s="8"/>
      <c r="M220" s="8"/>
      <c r="N220" s="8"/>
      <c r="O220" s="8"/>
      <c r="P220" s="12"/>
    </row>
    <row r="221" spans="1:17" ht="13.8">
      <c r="A221" s="37" t="s">
        <v>253</v>
      </c>
      <c r="B221" s="52">
        <v>-116.22362093482485</v>
      </c>
      <c r="C221" s="57">
        <v>18.815432481321078</v>
      </c>
      <c r="D221" s="20" t="s">
        <v>64</v>
      </c>
      <c r="E221" s="20" t="s">
        <v>38</v>
      </c>
      <c r="F221" s="21">
        <v>5</v>
      </c>
      <c r="G221" s="6">
        <v>10</v>
      </c>
      <c r="H221" s="3"/>
      <c r="I221" s="3"/>
      <c r="L221" s="8"/>
      <c r="M221" s="8"/>
      <c r="N221" s="8"/>
      <c r="O221" s="8"/>
      <c r="P221" s="12"/>
    </row>
    <row r="222" spans="1:17" ht="13.8">
      <c r="A222" s="40" t="s">
        <v>254</v>
      </c>
      <c r="B222" s="53">
        <v>-102.4310999281192</v>
      </c>
      <c r="C222" s="58">
        <v>20.956177767083609</v>
      </c>
      <c r="D222" s="29" t="s">
        <v>64</v>
      </c>
      <c r="E222" s="29" t="s">
        <v>26</v>
      </c>
      <c r="F222" s="31">
        <v>5</v>
      </c>
      <c r="G222" s="6">
        <v>1</v>
      </c>
      <c r="H222" s="3"/>
      <c r="I222" s="3"/>
      <c r="J222" s="31"/>
      <c r="K222" s="31"/>
      <c r="L222" s="8">
        <f>+AVERAGE(C222:C231)</f>
        <v>20.853057352045528</v>
      </c>
      <c r="M222" s="8">
        <f>+AVERAGE(B222:B231)</f>
        <v>-104.83581119883425</v>
      </c>
      <c r="N222" s="8">
        <f t="shared" ref="N222" si="21">+STDEV(C222:C231)/SQRT(COUNT(C222:C231))</f>
        <v>0.13376102064136311</v>
      </c>
      <c r="O222" s="8">
        <f>+STDEV(B222:B231)/SQRT(COUNT(B222:B231))</f>
        <v>1.2082923680904059</v>
      </c>
      <c r="P222" s="8"/>
      <c r="Q222" s="8"/>
    </row>
    <row r="223" spans="1:17" ht="13.8">
      <c r="A223" s="37" t="s">
        <v>255</v>
      </c>
      <c r="B223" s="52">
        <v>-106.01046876906307</v>
      </c>
      <c r="C223" s="57">
        <v>20.888874823448408</v>
      </c>
      <c r="D223" s="20" t="s">
        <v>64</v>
      </c>
      <c r="E223" s="20" t="s">
        <v>26</v>
      </c>
      <c r="F223" s="21">
        <v>5</v>
      </c>
      <c r="G223" s="6">
        <v>2</v>
      </c>
      <c r="H223" s="3"/>
      <c r="I223" s="3"/>
      <c r="L223" s="8"/>
      <c r="M223" s="8"/>
      <c r="N223" s="8"/>
      <c r="O223" s="8"/>
      <c r="P223" s="8"/>
      <c r="Q223" s="8"/>
    </row>
    <row r="224" spans="1:17" ht="13.8">
      <c r="A224" s="37" t="s">
        <v>256</v>
      </c>
      <c r="B224" s="52">
        <v>-106.56333422702969</v>
      </c>
      <c r="C224" s="57">
        <v>20.410220306400994</v>
      </c>
      <c r="D224" s="20" t="s">
        <v>64</v>
      </c>
      <c r="E224" s="20" t="s">
        <v>26</v>
      </c>
      <c r="F224" s="21">
        <v>5</v>
      </c>
      <c r="G224" s="6">
        <v>3</v>
      </c>
      <c r="H224" s="3"/>
      <c r="I224" s="3"/>
      <c r="L224" s="8"/>
      <c r="M224" s="8"/>
      <c r="N224" s="8"/>
      <c r="O224" s="8"/>
      <c r="P224" s="8"/>
      <c r="Q224" s="8"/>
    </row>
    <row r="225" spans="1:17" ht="13.8">
      <c r="A225" s="37" t="s">
        <v>257</v>
      </c>
      <c r="B225" s="52">
        <v>-103.24833742519198</v>
      </c>
      <c r="C225" s="57">
        <v>20.26677776864862</v>
      </c>
      <c r="D225" s="20" t="s">
        <v>64</v>
      </c>
      <c r="E225" s="20" t="s">
        <v>26</v>
      </c>
      <c r="F225" s="21">
        <v>5</v>
      </c>
      <c r="G225" s="6">
        <v>4</v>
      </c>
      <c r="H225" s="3"/>
      <c r="I225" s="3"/>
      <c r="L225" s="8"/>
      <c r="M225" s="8"/>
      <c r="N225" s="8"/>
      <c r="O225" s="8"/>
      <c r="P225" s="8"/>
      <c r="Q225" s="8"/>
    </row>
    <row r="226" spans="1:17" ht="13.8">
      <c r="A226" s="37" t="s">
        <v>258</v>
      </c>
      <c r="B226" s="52">
        <v>-103.85121669455023</v>
      </c>
      <c r="C226" s="57">
        <v>20.644446478944886</v>
      </c>
      <c r="D226" s="20" t="s">
        <v>64</v>
      </c>
      <c r="E226" s="20" t="s">
        <v>26</v>
      </c>
      <c r="F226" s="21">
        <v>5</v>
      </c>
      <c r="G226" s="6">
        <v>5</v>
      </c>
      <c r="H226" s="3"/>
      <c r="I226" s="3"/>
      <c r="L226" s="8"/>
      <c r="M226" s="8"/>
      <c r="N226" s="8"/>
      <c r="O226" s="8"/>
      <c r="P226" s="8"/>
      <c r="Q226" s="8"/>
    </row>
    <row r="227" spans="1:17" ht="13.8">
      <c r="A227" s="37" t="s">
        <v>259</v>
      </c>
      <c r="B227" s="52">
        <v>-98.997763293723821</v>
      </c>
      <c r="C227" s="57">
        <v>20.812484098944548</v>
      </c>
      <c r="D227" s="20" t="s">
        <v>64</v>
      </c>
      <c r="E227" s="20" t="s">
        <v>26</v>
      </c>
      <c r="F227" s="21">
        <v>5</v>
      </c>
      <c r="G227" s="6">
        <v>6</v>
      </c>
      <c r="H227" s="3"/>
      <c r="I227" s="3"/>
      <c r="L227" s="8"/>
      <c r="M227" s="8"/>
      <c r="N227" s="8"/>
      <c r="O227" s="8"/>
      <c r="P227" s="8"/>
      <c r="Q227" s="8"/>
    </row>
    <row r="228" spans="1:17" ht="13.8">
      <c r="A228" s="37" t="s">
        <v>260</v>
      </c>
      <c r="B228" s="52">
        <v>-104.42925380547122</v>
      </c>
      <c r="C228" s="57">
        <v>20.716505204278199</v>
      </c>
      <c r="D228" s="20" t="s">
        <v>64</v>
      </c>
      <c r="E228" s="20" t="s">
        <v>26</v>
      </c>
      <c r="F228" s="21">
        <v>5</v>
      </c>
      <c r="G228" s="6">
        <v>7</v>
      </c>
      <c r="H228" s="3"/>
      <c r="I228" s="3"/>
      <c r="L228" s="8"/>
      <c r="M228" s="8"/>
      <c r="N228" s="8"/>
      <c r="O228" s="8"/>
      <c r="P228" s="8"/>
      <c r="Q228" s="8"/>
    </row>
    <row r="229" spans="1:17" ht="13.8">
      <c r="A229" s="37" t="s">
        <v>261</v>
      </c>
      <c r="B229" s="52">
        <v>-107.14247079807768</v>
      </c>
      <c r="C229" s="57">
        <v>21.059565008157573</v>
      </c>
      <c r="D229" s="20" t="s">
        <v>64</v>
      </c>
      <c r="E229" s="20" t="s">
        <v>26</v>
      </c>
      <c r="F229" s="21">
        <v>5</v>
      </c>
      <c r="G229" s="6">
        <v>8</v>
      </c>
      <c r="H229" s="3"/>
      <c r="I229" s="3"/>
      <c r="L229" s="8"/>
      <c r="M229" s="8"/>
      <c r="N229" s="8"/>
      <c r="O229" s="8"/>
      <c r="P229" s="8"/>
      <c r="Q229" s="8"/>
    </row>
    <row r="230" spans="1:17" ht="13.8">
      <c r="A230" s="37" t="s">
        <v>262</v>
      </c>
      <c r="B230" s="52">
        <v>-102.35952339935294</v>
      </c>
      <c r="C230" s="57">
        <v>20.95172020271972</v>
      </c>
      <c r="D230" s="20" t="s">
        <v>64</v>
      </c>
      <c r="E230" s="20" t="s">
        <v>26</v>
      </c>
      <c r="F230" s="21">
        <v>5</v>
      </c>
      <c r="G230" s="6">
        <v>9</v>
      </c>
      <c r="H230" s="3"/>
      <c r="I230" s="3"/>
      <c r="L230" s="8"/>
      <c r="M230" s="8"/>
      <c r="N230" s="8"/>
      <c r="O230" s="8"/>
      <c r="P230" s="8"/>
      <c r="Q230" s="8"/>
    </row>
    <row r="231" spans="1:17" ht="13.8">
      <c r="A231" s="37" t="s">
        <v>263</v>
      </c>
      <c r="B231" s="52">
        <v>-113.3246436477626</v>
      </c>
      <c r="C231" s="57">
        <v>21.823801861828738</v>
      </c>
      <c r="D231" s="20" t="s">
        <v>64</v>
      </c>
      <c r="E231" s="20" t="s">
        <v>26</v>
      </c>
      <c r="F231" s="21">
        <v>5</v>
      </c>
      <c r="G231" s="6">
        <v>10</v>
      </c>
      <c r="H231" s="3"/>
      <c r="I231" s="3"/>
      <c r="L231" s="8"/>
      <c r="M231" s="8"/>
      <c r="N231" s="8"/>
      <c r="O231" s="8"/>
      <c r="P231" s="8"/>
      <c r="Q231" s="8"/>
    </row>
    <row r="232" spans="1:17" ht="13.8">
      <c r="A232" s="40" t="s">
        <v>264</v>
      </c>
      <c r="B232" s="53">
        <v>-94.977747607350167</v>
      </c>
      <c r="C232" s="53">
        <v>22.231349457543956</v>
      </c>
      <c r="D232" s="29" t="s">
        <v>12</v>
      </c>
      <c r="E232" s="29" t="s">
        <v>38</v>
      </c>
      <c r="F232" s="31">
        <v>5</v>
      </c>
      <c r="G232" s="6">
        <v>1</v>
      </c>
      <c r="H232" s="3"/>
      <c r="I232" s="3"/>
      <c r="J232" s="31"/>
      <c r="K232" s="31"/>
      <c r="L232" s="8">
        <f>+AVERAGE(C232:C241)</f>
        <v>22.121182508802484</v>
      </c>
      <c r="M232" s="8">
        <f>+AVERAGE(B232:B241)</f>
        <v>-93.693347036324226</v>
      </c>
      <c r="N232" s="8">
        <f t="shared" ref="N232" si="22">+STDEV(C232:C241)/SQRT(COUNT(C232:C241))</f>
        <v>0.21543841963769597</v>
      </c>
      <c r="O232" s="8">
        <f>+STDEV(B232:B241)/SQRT(COUNT(B232:B241))</f>
        <v>2.7028186500165359</v>
      </c>
      <c r="P232" s="8"/>
    </row>
    <row r="233" spans="1:17" ht="13.8">
      <c r="A233" s="37" t="s">
        <v>265</v>
      </c>
      <c r="B233" s="52">
        <v>-92.36695318374889</v>
      </c>
      <c r="C233" s="52">
        <v>22.089231069871971</v>
      </c>
      <c r="D233" s="20" t="s">
        <v>12</v>
      </c>
      <c r="E233" s="20" t="s">
        <v>38</v>
      </c>
      <c r="F233" s="21">
        <v>5</v>
      </c>
      <c r="G233" s="6">
        <v>2</v>
      </c>
      <c r="H233" s="3"/>
      <c r="I233" s="3"/>
      <c r="L233" s="8"/>
      <c r="M233" s="8"/>
      <c r="N233" s="8"/>
      <c r="O233" s="8"/>
      <c r="P233" s="8"/>
    </row>
    <row r="234" spans="1:17" ht="13.8">
      <c r="A234" s="37" t="s">
        <v>266</v>
      </c>
      <c r="B234" s="52">
        <v>-95.111362594098239</v>
      </c>
      <c r="C234" s="52">
        <v>21.192171743431729</v>
      </c>
      <c r="D234" s="20" t="s">
        <v>12</v>
      </c>
      <c r="E234" s="20" t="s">
        <v>38</v>
      </c>
      <c r="F234" s="21">
        <v>5</v>
      </c>
      <c r="G234" s="6">
        <v>3</v>
      </c>
      <c r="H234" s="3"/>
      <c r="I234" s="3"/>
      <c r="L234" s="8"/>
      <c r="M234" s="8"/>
      <c r="N234" s="8"/>
      <c r="O234" s="8"/>
      <c r="P234" s="8"/>
    </row>
    <row r="235" spans="1:17" ht="13.8">
      <c r="A235" s="37" t="s">
        <v>267</v>
      </c>
      <c r="B235" s="52">
        <v>-85.897230690494879</v>
      </c>
      <c r="C235" s="52">
        <v>22.147691115864703</v>
      </c>
      <c r="D235" s="20" t="s">
        <v>12</v>
      </c>
      <c r="E235" s="20" t="s">
        <v>38</v>
      </c>
      <c r="F235" s="21">
        <v>5</v>
      </c>
      <c r="G235" s="6">
        <v>4</v>
      </c>
      <c r="H235" s="3"/>
      <c r="I235" s="3"/>
      <c r="L235" s="8"/>
      <c r="M235" s="8"/>
      <c r="N235" s="8"/>
      <c r="O235" s="8"/>
      <c r="P235" s="8"/>
    </row>
    <row r="236" spans="1:17" ht="13.8">
      <c r="A236" s="37" t="s">
        <v>268</v>
      </c>
      <c r="B236" s="52">
        <v>-84.510179875681516</v>
      </c>
      <c r="C236" s="52">
        <v>21.94005715940775</v>
      </c>
      <c r="D236" s="20" t="s">
        <v>12</v>
      </c>
      <c r="E236" s="20" t="s">
        <v>38</v>
      </c>
      <c r="F236" s="21">
        <v>5</v>
      </c>
      <c r="G236" s="6">
        <v>5</v>
      </c>
      <c r="H236" s="3"/>
      <c r="I236" s="3"/>
      <c r="L236" s="8"/>
      <c r="M236" s="8"/>
      <c r="N236" s="8"/>
      <c r="O236" s="8"/>
      <c r="P236" s="8"/>
    </row>
    <row r="237" spans="1:17" ht="13.8">
      <c r="A237" s="37" t="s">
        <v>269</v>
      </c>
      <c r="B237" s="52">
        <v>-92.431639804317399</v>
      </c>
      <c r="C237" s="52">
        <v>22.198087707237754</v>
      </c>
      <c r="D237" s="20" t="s">
        <v>12</v>
      </c>
      <c r="E237" s="20" t="s">
        <v>38</v>
      </c>
      <c r="F237" s="21">
        <v>5</v>
      </c>
      <c r="G237" s="6">
        <v>6</v>
      </c>
      <c r="H237" s="3"/>
      <c r="I237" s="3"/>
      <c r="L237" s="8"/>
      <c r="M237" s="8"/>
      <c r="N237" s="8"/>
      <c r="O237" s="8"/>
      <c r="P237" s="8"/>
    </row>
    <row r="238" spans="1:17" ht="13.8">
      <c r="A238" s="37" t="s">
        <v>270</v>
      </c>
      <c r="B238" s="52">
        <v>-92.182437249668212</v>
      </c>
      <c r="C238" s="52">
        <v>23.102202556470218</v>
      </c>
      <c r="D238" s="20" t="s">
        <v>12</v>
      </c>
      <c r="E238" s="20" t="s">
        <v>38</v>
      </c>
      <c r="F238" s="21">
        <v>5</v>
      </c>
      <c r="G238" s="6">
        <v>7</v>
      </c>
      <c r="H238" s="3"/>
      <c r="I238" s="3"/>
      <c r="L238" s="8"/>
      <c r="M238" s="8"/>
      <c r="N238" s="8"/>
      <c r="O238" s="8"/>
      <c r="P238" s="8"/>
    </row>
    <row r="239" spans="1:17" ht="13.8">
      <c r="A239" s="37" t="s">
        <v>271</v>
      </c>
      <c r="B239" s="52">
        <v>-85.230216193157261</v>
      </c>
      <c r="C239" s="52">
        <v>23.245328875969669</v>
      </c>
      <c r="D239" s="20" t="s">
        <v>12</v>
      </c>
      <c r="E239" s="20" t="s">
        <v>38</v>
      </c>
      <c r="F239" s="21">
        <v>5</v>
      </c>
      <c r="G239" s="6">
        <v>8</v>
      </c>
      <c r="H239" s="3"/>
      <c r="I239" s="3"/>
      <c r="L239" s="8"/>
      <c r="M239" s="8"/>
      <c r="N239" s="8"/>
      <c r="O239" s="8"/>
      <c r="P239" s="8"/>
    </row>
    <row r="240" spans="1:17" ht="13.8">
      <c r="A240" s="37" t="s">
        <v>272</v>
      </c>
      <c r="B240" s="52">
        <v>-101.14312485301134</v>
      </c>
      <c r="C240" s="52">
        <v>21.947112682199979</v>
      </c>
      <c r="D240" s="20" t="s">
        <v>12</v>
      </c>
      <c r="E240" s="20" t="s">
        <v>38</v>
      </c>
      <c r="F240" s="21">
        <v>5</v>
      </c>
      <c r="G240" s="6">
        <v>9</v>
      </c>
      <c r="H240" s="3"/>
      <c r="I240" s="3"/>
      <c r="L240" s="8"/>
      <c r="M240" s="8"/>
      <c r="N240" s="8"/>
      <c r="O240" s="8"/>
      <c r="P240" s="8"/>
    </row>
    <row r="241" spans="1:16" ht="13.8">
      <c r="A241" s="37" t="s">
        <v>273</v>
      </c>
      <c r="B241" s="52">
        <v>-113.08257831171433</v>
      </c>
      <c r="C241" s="52">
        <v>21.118592720027081</v>
      </c>
      <c r="D241" s="20" t="s">
        <v>12</v>
      </c>
      <c r="E241" s="20" t="s">
        <v>38</v>
      </c>
      <c r="F241" s="21">
        <v>5</v>
      </c>
      <c r="G241" s="6">
        <v>10</v>
      </c>
      <c r="H241" s="3"/>
      <c r="I241" s="3"/>
      <c r="L241" s="8"/>
      <c r="M241" s="8"/>
      <c r="N241" s="8"/>
      <c r="O241" s="8"/>
      <c r="P241" s="8"/>
    </row>
    <row r="242" spans="1:16" ht="13.8">
      <c r="A242" s="43" t="s">
        <v>274</v>
      </c>
      <c r="B242" s="52"/>
      <c r="C242" s="52"/>
      <c r="D242" s="29" t="s">
        <v>12</v>
      </c>
      <c r="E242" s="29" t="s">
        <v>26</v>
      </c>
      <c r="F242" s="30">
        <v>5</v>
      </c>
      <c r="G242" s="6">
        <v>1</v>
      </c>
      <c r="H242" s="3"/>
      <c r="I242" s="3"/>
      <c r="J242" s="31"/>
      <c r="K242" s="31"/>
      <c r="L242" s="8">
        <f>+AVERAGE(C242:C251)</f>
        <v>20.614850791147159</v>
      </c>
      <c r="M242" s="8">
        <f>+AVERAGE(B242:B251)</f>
        <v>-92.235105591005407</v>
      </c>
      <c r="N242" s="8">
        <f t="shared" ref="N242" si="23">+STDEV(C242:C251)/SQRT(COUNT(C242:C251))</f>
        <v>0.34305759199123992</v>
      </c>
      <c r="O242" s="8">
        <f>+STDEV(B242:B251)/SQRT(COUNT(B242:B251))</f>
        <v>2.7454205131016902</v>
      </c>
      <c r="P242" s="8"/>
    </row>
    <row r="243" spans="1:16" ht="13.8">
      <c r="A243" s="37" t="s">
        <v>275</v>
      </c>
      <c r="B243" s="52">
        <v>-71.588762308020449</v>
      </c>
      <c r="C243" s="52">
        <v>18.352827785474254</v>
      </c>
      <c r="D243" s="20" t="s">
        <v>12</v>
      </c>
      <c r="E243" s="20" t="s">
        <v>26</v>
      </c>
      <c r="F243" s="21">
        <v>5</v>
      </c>
      <c r="G243" s="6">
        <v>2</v>
      </c>
      <c r="H243" s="3"/>
      <c r="I243" s="3"/>
      <c r="L243" s="8"/>
      <c r="M243" s="8"/>
      <c r="N243" s="8"/>
      <c r="O243" s="8"/>
      <c r="P243" s="8"/>
    </row>
    <row r="244" spans="1:16" ht="13.8">
      <c r="A244" s="37" t="s">
        <v>276</v>
      </c>
      <c r="B244" s="52">
        <v>-96.293749183178434</v>
      </c>
      <c r="C244" s="52">
        <v>20.642848897465512</v>
      </c>
      <c r="D244" s="20" t="s">
        <v>12</v>
      </c>
      <c r="E244" s="20" t="s">
        <v>26</v>
      </c>
      <c r="F244" s="21">
        <v>5</v>
      </c>
      <c r="G244" s="6">
        <v>3</v>
      </c>
      <c r="H244" s="3"/>
      <c r="I244" s="3"/>
      <c r="L244" s="8"/>
      <c r="M244" s="8"/>
      <c r="N244" s="8"/>
      <c r="O244" s="8"/>
      <c r="P244" s="8"/>
    </row>
    <row r="245" spans="1:16" ht="13.8">
      <c r="A245" s="37" t="s">
        <v>277</v>
      </c>
      <c r="B245" s="52">
        <v>-98.293732238788508</v>
      </c>
      <c r="C245" s="52">
        <v>21.57518583786689</v>
      </c>
      <c r="D245" s="20" t="s">
        <v>12</v>
      </c>
      <c r="E245" s="20" t="s">
        <v>26</v>
      </c>
      <c r="F245" s="21">
        <v>5</v>
      </c>
      <c r="G245" s="6">
        <v>4</v>
      </c>
      <c r="H245" s="3"/>
      <c r="I245" s="3"/>
      <c r="L245" s="8"/>
      <c r="M245" s="8"/>
      <c r="N245" s="8"/>
      <c r="O245" s="8"/>
      <c r="P245" s="8"/>
    </row>
    <row r="246" spans="1:16" ht="13.8">
      <c r="A246" s="37" t="s">
        <v>278</v>
      </c>
      <c r="B246" s="52">
        <v>-89.794334470647058</v>
      </c>
      <c r="C246" s="52">
        <v>19.973582164031455</v>
      </c>
      <c r="D246" s="20" t="s">
        <v>12</v>
      </c>
      <c r="E246" s="20" t="s">
        <v>26</v>
      </c>
      <c r="F246" s="21">
        <v>5</v>
      </c>
      <c r="G246" s="6">
        <v>5</v>
      </c>
      <c r="H246" s="3"/>
      <c r="I246" s="3"/>
      <c r="L246" s="8"/>
      <c r="M246" s="8"/>
      <c r="N246" s="8"/>
      <c r="O246" s="8"/>
      <c r="P246" s="8"/>
    </row>
    <row r="247" spans="1:16" ht="13.8">
      <c r="A247" s="37" t="s">
        <v>279</v>
      </c>
      <c r="B247" s="52">
        <v>-95.782618837046911</v>
      </c>
      <c r="C247" s="52">
        <v>20.251771348410671</v>
      </c>
      <c r="D247" s="20" t="s">
        <v>12</v>
      </c>
      <c r="E247" s="20" t="s">
        <v>26</v>
      </c>
      <c r="F247" s="21">
        <v>5</v>
      </c>
      <c r="G247" s="6">
        <v>6</v>
      </c>
      <c r="H247" s="3"/>
      <c r="I247" s="3"/>
      <c r="L247" s="8"/>
      <c r="M247" s="8"/>
      <c r="N247" s="8"/>
      <c r="O247" s="8"/>
      <c r="P247" s="8"/>
    </row>
    <row r="248" spans="1:16" ht="13.8">
      <c r="A248" s="37" t="s">
        <v>280</v>
      </c>
      <c r="B248" s="52">
        <v>-92.329837909652213</v>
      </c>
      <c r="C248" s="52">
        <v>21.531844769286067</v>
      </c>
      <c r="D248" s="20" t="s">
        <v>12</v>
      </c>
      <c r="E248" s="20" t="s">
        <v>26</v>
      </c>
      <c r="F248" s="21">
        <v>5</v>
      </c>
      <c r="G248" s="6">
        <v>7</v>
      </c>
      <c r="H248" s="3"/>
      <c r="I248" s="3"/>
      <c r="L248" s="8"/>
      <c r="M248" s="8"/>
      <c r="N248" s="8"/>
      <c r="O248" s="8"/>
      <c r="P248" s="8"/>
    </row>
    <row r="249" spans="1:16" ht="13.8">
      <c r="A249" s="37" t="s">
        <v>281</v>
      </c>
      <c r="B249" s="52">
        <v>-92.239700815417379</v>
      </c>
      <c r="C249" s="52">
        <v>20.802102126204346</v>
      </c>
      <c r="D249" s="20" t="s">
        <v>12</v>
      </c>
      <c r="E249" s="20" t="s">
        <v>26</v>
      </c>
      <c r="F249" s="21">
        <v>5</v>
      </c>
      <c r="G249" s="6">
        <v>8</v>
      </c>
      <c r="H249" s="3"/>
      <c r="I249" s="3"/>
      <c r="L249" s="8"/>
      <c r="M249" s="8"/>
      <c r="N249" s="8"/>
      <c r="O249" s="8"/>
      <c r="P249" s="8"/>
    </row>
    <row r="250" spans="1:16" ht="13.8">
      <c r="A250" s="37" t="s">
        <v>282</v>
      </c>
      <c r="B250" s="52">
        <v>-96.11347499470881</v>
      </c>
      <c r="C250" s="52">
        <v>20.798070398894502</v>
      </c>
      <c r="D250" s="20" t="s">
        <v>12</v>
      </c>
      <c r="E250" s="20" t="s">
        <v>26</v>
      </c>
      <c r="F250" s="21">
        <v>5</v>
      </c>
      <c r="G250" s="6">
        <v>9</v>
      </c>
      <c r="H250" s="3"/>
      <c r="I250" s="3"/>
      <c r="L250" s="8"/>
      <c r="M250" s="8"/>
      <c r="N250" s="8"/>
      <c r="O250" s="8"/>
      <c r="P250" s="8"/>
    </row>
    <row r="251" spans="1:16" ht="13.8">
      <c r="A251" s="37" t="s">
        <v>283</v>
      </c>
      <c r="B251" s="52">
        <v>-97.679739561589017</v>
      </c>
      <c r="C251" s="52">
        <v>21.605423792690722</v>
      </c>
      <c r="D251" s="20" t="s">
        <v>12</v>
      </c>
      <c r="E251" s="20" t="s">
        <v>26</v>
      </c>
      <c r="F251" s="21">
        <v>5</v>
      </c>
      <c r="G251" s="6">
        <v>10</v>
      </c>
      <c r="H251" s="3"/>
      <c r="I251" s="3"/>
      <c r="L251" s="8"/>
      <c r="M251" s="8"/>
      <c r="N251" s="8"/>
      <c r="O251" s="8"/>
      <c r="P251" s="8"/>
    </row>
    <row r="252" spans="1:16" ht="13.8">
      <c r="A252" s="40" t="s">
        <v>284</v>
      </c>
      <c r="B252" s="52">
        <v>-106.6955698578758</v>
      </c>
      <c r="C252" s="52">
        <v>20.656959943049969</v>
      </c>
      <c r="D252" s="29" t="s">
        <v>64</v>
      </c>
      <c r="E252" s="29" t="s">
        <v>38</v>
      </c>
      <c r="F252" s="30">
        <v>6</v>
      </c>
      <c r="G252" s="6">
        <v>1</v>
      </c>
      <c r="H252" s="3"/>
      <c r="I252" s="3"/>
      <c r="J252" s="31"/>
      <c r="K252" s="44" t="s">
        <v>285</v>
      </c>
      <c r="L252" s="8">
        <f>+AVERAGE(C252:C261)</f>
        <v>19.168043047524662</v>
      </c>
      <c r="M252" s="8">
        <f>+AVERAGE(B252:B261)</f>
        <v>-107.86597351560476</v>
      </c>
      <c r="N252" s="8">
        <f t="shared" ref="N252" si="24">+STDEV(C252:C261)/SQRT(COUNT(C252:C261))</f>
        <v>0.23954594508100563</v>
      </c>
      <c r="O252" s="8">
        <f>+STDEV(B252:B261)/SQRT(COUNT(B252:B261))</f>
        <v>2.4693252239568126</v>
      </c>
      <c r="P252" s="12"/>
    </row>
    <row r="253" spans="1:16" ht="13.8">
      <c r="A253" s="37" t="s">
        <v>286</v>
      </c>
      <c r="B253" s="52">
        <v>-107.68707789445874</v>
      </c>
      <c r="C253" s="52">
        <v>19.643988456451716</v>
      </c>
      <c r="D253" s="20" t="s">
        <v>64</v>
      </c>
      <c r="E253" s="20" t="s">
        <v>38</v>
      </c>
      <c r="F253" s="21">
        <v>6</v>
      </c>
      <c r="G253" s="6">
        <v>2</v>
      </c>
      <c r="H253" s="3"/>
      <c r="I253" s="3"/>
      <c r="L253" s="8"/>
      <c r="M253" s="8"/>
      <c r="N253" s="8"/>
      <c r="O253" s="8"/>
      <c r="P253" s="12"/>
    </row>
    <row r="254" spans="1:16" ht="13.8">
      <c r="A254" s="37" t="s">
        <v>287</v>
      </c>
      <c r="B254" s="52">
        <v>-109.60646778345887</v>
      </c>
      <c r="C254" s="52">
        <v>19.16421290658031</v>
      </c>
      <c r="D254" s="20" t="s">
        <v>64</v>
      </c>
      <c r="E254" s="20" t="s">
        <v>38</v>
      </c>
      <c r="F254" s="21">
        <v>6</v>
      </c>
      <c r="G254" s="6">
        <v>3</v>
      </c>
      <c r="H254" s="3"/>
      <c r="I254" s="3"/>
      <c r="L254" s="8"/>
      <c r="M254" s="8"/>
      <c r="N254" s="8"/>
      <c r="O254" s="8"/>
      <c r="P254" s="12"/>
    </row>
    <row r="255" spans="1:16" ht="13.8">
      <c r="A255" s="37" t="s">
        <v>288</v>
      </c>
      <c r="B255" s="52">
        <v>-118.59260586046828</v>
      </c>
      <c r="C255" s="52">
        <v>18.19962214770019</v>
      </c>
      <c r="D255" s="20" t="s">
        <v>64</v>
      </c>
      <c r="E255" s="20" t="s">
        <v>38</v>
      </c>
      <c r="F255" s="21">
        <v>6</v>
      </c>
      <c r="G255" s="6">
        <v>4</v>
      </c>
      <c r="H255" s="3"/>
      <c r="I255" s="3"/>
      <c r="L255" s="8"/>
      <c r="M255" s="8"/>
      <c r="N255" s="8"/>
      <c r="O255" s="8"/>
      <c r="P255" s="12"/>
    </row>
    <row r="256" spans="1:16" ht="13.8">
      <c r="A256" s="37" t="s">
        <v>289</v>
      </c>
      <c r="B256" s="52">
        <v>-112.73687604441376</v>
      </c>
      <c r="C256" s="52">
        <v>18.118987601503314</v>
      </c>
      <c r="D256" s="20" t="s">
        <v>64</v>
      </c>
      <c r="E256" s="20" t="s">
        <v>38</v>
      </c>
      <c r="F256" s="21">
        <v>6</v>
      </c>
      <c r="G256" s="6">
        <v>5</v>
      </c>
      <c r="H256" s="3"/>
      <c r="I256" s="3"/>
      <c r="L256" s="8"/>
      <c r="M256" s="8"/>
      <c r="N256" s="8"/>
      <c r="O256" s="8"/>
      <c r="P256" s="12"/>
    </row>
    <row r="257" spans="1:17" ht="13.8">
      <c r="A257" s="37" t="s">
        <v>290</v>
      </c>
      <c r="B257" s="52">
        <v>-108.49725130616928</v>
      </c>
      <c r="C257" s="52">
        <v>18.504017559593393</v>
      </c>
      <c r="D257" s="20" t="s">
        <v>64</v>
      </c>
      <c r="E257" s="20" t="s">
        <v>38</v>
      </c>
      <c r="F257" s="21">
        <v>6</v>
      </c>
      <c r="G257" s="6">
        <v>6</v>
      </c>
      <c r="H257" s="3"/>
      <c r="I257" s="3"/>
      <c r="L257" s="8"/>
      <c r="M257" s="8"/>
      <c r="N257" s="8"/>
      <c r="O257" s="8"/>
      <c r="P257" s="12"/>
    </row>
    <row r="258" spans="1:17" ht="13.8">
      <c r="A258" s="37" t="s">
        <v>291</v>
      </c>
      <c r="B258" s="52">
        <v>-111.37739657607223</v>
      </c>
      <c r="C258" s="52">
        <v>19.257950566534184</v>
      </c>
      <c r="D258" s="20" t="s">
        <v>64</v>
      </c>
      <c r="E258" s="20" t="s">
        <v>38</v>
      </c>
      <c r="F258" s="21">
        <v>6</v>
      </c>
      <c r="G258" s="6">
        <v>7</v>
      </c>
      <c r="H258" s="3"/>
      <c r="I258" s="3"/>
      <c r="L258" s="8"/>
      <c r="M258" s="8"/>
      <c r="N258" s="8"/>
      <c r="O258" s="8"/>
      <c r="P258" s="12"/>
    </row>
    <row r="259" spans="1:17" ht="13.8">
      <c r="A259" s="37" t="s">
        <v>292</v>
      </c>
      <c r="B259" s="52">
        <v>-109.20350195040911</v>
      </c>
      <c r="C259" s="52">
        <v>19.15614945196063</v>
      </c>
      <c r="D259" s="20" t="s">
        <v>64</v>
      </c>
      <c r="E259" s="20" t="s">
        <v>38</v>
      </c>
      <c r="F259" s="21">
        <v>6</v>
      </c>
      <c r="G259" s="6">
        <v>8</v>
      </c>
      <c r="H259" s="3"/>
      <c r="I259" s="3"/>
      <c r="L259" s="8"/>
      <c r="M259" s="8"/>
      <c r="N259" s="8"/>
      <c r="O259" s="8"/>
      <c r="P259" s="12"/>
    </row>
    <row r="260" spans="1:17" ht="13.8">
      <c r="A260" s="37" t="s">
        <v>293</v>
      </c>
      <c r="B260" s="52">
        <v>-106.09218154470393</v>
      </c>
      <c r="C260" s="52">
        <v>19.605687047008203</v>
      </c>
      <c r="D260" s="20" t="s">
        <v>64</v>
      </c>
      <c r="E260" s="20" t="s">
        <v>38</v>
      </c>
      <c r="F260" s="21">
        <v>6</v>
      </c>
      <c r="G260" s="6">
        <v>9</v>
      </c>
      <c r="H260" s="3"/>
      <c r="I260" s="3"/>
      <c r="L260" s="8"/>
      <c r="M260" s="8"/>
      <c r="N260" s="8"/>
      <c r="O260" s="8"/>
      <c r="P260" s="12"/>
    </row>
    <row r="261" spans="1:17" ht="13.8">
      <c r="A261" s="37" t="s">
        <v>294</v>
      </c>
      <c r="B261" s="52">
        <v>-88.17080633801767</v>
      </c>
      <c r="C261" s="52">
        <v>19.372854794864729</v>
      </c>
      <c r="D261" s="20" t="s">
        <v>64</v>
      </c>
      <c r="E261" s="20" t="s">
        <v>38</v>
      </c>
      <c r="F261" s="21">
        <v>6</v>
      </c>
      <c r="G261" s="6">
        <v>10</v>
      </c>
      <c r="H261" s="3"/>
      <c r="I261" s="3"/>
      <c r="L261" s="8"/>
      <c r="M261" s="8"/>
      <c r="N261" s="8"/>
      <c r="O261" s="8"/>
      <c r="P261" s="12"/>
    </row>
    <row r="262" spans="1:17" ht="13.8">
      <c r="A262" s="40" t="s">
        <v>295</v>
      </c>
      <c r="B262" s="52">
        <v>-103.83557287962533</v>
      </c>
      <c r="C262" s="52">
        <v>20.680142375081573</v>
      </c>
      <c r="D262" s="29" t="s">
        <v>64</v>
      </c>
      <c r="E262" s="29" t="s">
        <v>26</v>
      </c>
      <c r="F262" s="30">
        <v>6</v>
      </c>
      <c r="G262" s="6">
        <v>1</v>
      </c>
      <c r="H262" s="3"/>
      <c r="I262" s="3"/>
      <c r="J262" s="31"/>
      <c r="K262" s="31"/>
      <c r="L262" s="8">
        <f>+AVERAGE(C262:C271)</f>
        <v>20.609183974428319</v>
      </c>
      <c r="M262" s="8">
        <f>+AVERAGE(B262:B271)</f>
        <v>-102.30186371030992</v>
      </c>
      <c r="N262" s="8">
        <f t="shared" ref="N262" si="25">+STDEV(C262:C271)/SQRT(COUNT(C262:C271))</f>
        <v>0.11419701048545754</v>
      </c>
      <c r="O262" s="8">
        <f>+STDEV(B262:B271)/SQRT(COUNT(B262:B271))</f>
        <v>1.0982142416550005</v>
      </c>
      <c r="P262" s="8"/>
      <c r="Q262" s="8"/>
    </row>
    <row r="263" spans="1:17" ht="13.8">
      <c r="A263" s="37" t="s">
        <v>296</v>
      </c>
      <c r="B263" s="52">
        <v>-101.97344655637438</v>
      </c>
      <c r="C263" s="52">
        <v>20.527944669134968</v>
      </c>
      <c r="D263" s="20" t="s">
        <v>64</v>
      </c>
      <c r="E263" s="20" t="s">
        <v>26</v>
      </c>
      <c r="F263" s="21">
        <v>6</v>
      </c>
      <c r="G263" s="6">
        <v>2</v>
      </c>
      <c r="H263" s="3"/>
      <c r="I263" s="3"/>
      <c r="L263" s="8"/>
      <c r="M263" s="8"/>
      <c r="N263" s="8"/>
      <c r="O263" s="8"/>
      <c r="P263" s="8"/>
      <c r="Q263" s="8"/>
    </row>
    <row r="264" spans="1:17" ht="13.8">
      <c r="A264" s="37" t="s">
        <v>297</v>
      </c>
      <c r="B264" s="52">
        <v>-98.794258220892402</v>
      </c>
      <c r="C264" s="52">
        <v>20.178192325006016</v>
      </c>
      <c r="D264" s="20" t="s">
        <v>64</v>
      </c>
      <c r="E264" s="20" t="s">
        <v>26</v>
      </c>
      <c r="F264" s="21">
        <v>6</v>
      </c>
      <c r="G264" s="6">
        <v>3</v>
      </c>
      <c r="H264" s="3"/>
      <c r="I264" s="3"/>
      <c r="L264" s="8"/>
      <c r="M264" s="8"/>
      <c r="N264" s="8"/>
      <c r="O264" s="8"/>
      <c r="P264" s="8"/>
      <c r="Q264" s="8"/>
    </row>
    <row r="265" spans="1:17" ht="13.8">
      <c r="A265" s="37" t="s">
        <v>298</v>
      </c>
      <c r="B265" s="52">
        <v>-103.0275203407203</v>
      </c>
      <c r="C265" s="52">
        <v>20.588420578782625</v>
      </c>
      <c r="D265" s="20" t="s">
        <v>64</v>
      </c>
      <c r="E265" s="20" t="s">
        <v>26</v>
      </c>
      <c r="F265" s="21">
        <v>6</v>
      </c>
      <c r="G265" s="6">
        <v>4</v>
      </c>
      <c r="H265" s="3"/>
      <c r="I265" s="3"/>
      <c r="L265" s="8"/>
      <c r="M265" s="8"/>
      <c r="N265" s="8"/>
      <c r="O265" s="8"/>
      <c r="P265" s="8"/>
      <c r="Q265" s="8"/>
    </row>
    <row r="266" spans="1:17" ht="13.8">
      <c r="A266" s="37" t="s">
        <v>299</v>
      </c>
      <c r="B266" s="52">
        <v>-103.49305192153305</v>
      </c>
      <c r="C266" s="52">
        <v>19.909074527073955</v>
      </c>
      <c r="D266" s="20" t="s">
        <v>64</v>
      </c>
      <c r="E266" s="20" t="s">
        <v>26</v>
      </c>
      <c r="F266" s="21">
        <v>6</v>
      </c>
      <c r="G266" s="6">
        <v>5</v>
      </c>
      <c r="H266" s="3"/>
      <c r="I266" s="3"/>
      <c r="L266" s="8"/>
      <c r="M266" s="8"/>
      <c r="N266" s="8"/>
      <c r="O266" s="8"/>
      <c r="P266" s="8"/>
      <c r="Q266" s="8"/>
    </row>
    <row r="267" spans="1:17" ht="13.8">
      <c r="A267" s="37" t="s">
        <v>300</v>
      </c>
      <c r="B267" s="52">
        <v>-103.09114652488606</v>
      </c>
      <c r="C267" s="52">
        <v>21.049045423932277</v>
      </c>
      <c r="D267" s="20" t="s">
        <v>64</v>
      </c>
      <c r="E267" s="20" t="s">
        <v>26</v>
      </c>
      <c r="F267" s="21">
        <v>6</v>
      </c>
      <c r="G267" s="6">
        <v>6</v>
      </c>
      <c r="H267" s="3"/>
      <c r="I267" s="3"/>
      <c r="L267" s="8"/>
      <c r="M267" s="8"/>
      <c r="N267" s="8"/>
      <c r="O267" s="8"/>
      <c r="P267" s="8"/>
      <c r="Q267" s="8"/>
    </row>
    <row r="268" spans="1:17" ht="13.8">
      <c r="A268" s="37" t="s">
        <v>301</v>
      </c>
      <c r="B268" s="52">
        <v>-96.674445851770159</v>
      </c>
      <c r="C268" s="52">
        <v>20.709372398077939</v>
      </c>
      <c r="D268" s="20" t="s">
        <v>64</v>
      </c>
      <c r="E268" s="20" t="s">
        <v>26</v>
      </c>
      <c r="F268" s="21">
        <v>6</v>
      </c>
      <c r="G268" s="6">
        <v>7</v>
      </c>
      <c r="H268" s="3"/>
      <c r="I268" s="3"/>
      <c r="L268" s="8"/>
      <c r="M268" s="8"/>
      <c r="N268" s="8"/>
      <c r="O268" s="8"/>
      <c r="P268" s="8"/>
      <c r="Q268" s="8"/>
    </row>
    <row r="269" spans="1:17" ht="13.8">
      <c r="A269" s="37" t="s">
        <v>302</v>
      </c>
      <c r="B269" s="52">
        <v>-98.541874357034928</v>
      </c>
      <c r="C269" s="52">
        <v>20.508793964413215</v>
      </c>
      <c r="D269" s="20" t="s">
        <v>64</v>
      </c>
      <c r="E269" s="20" t="s">
        <v>26</v>
      </c>
      <c r="F269" s="21">
        <v>6</v>
      </c>
      <c r="G269" s="6">
        <v>8</v>
      </c>
      <c r="H269" s="3"/>
      <c r="I269" s="3"/>
      <c r="L269" s="8"/>
      <c r="M269" s="8"/>
      <c r="N269" s="8"/>
      <c r="O269" s="8"/>
      <c r="P269" s="8"/>
      <c r="Q269" s="8"/>
    </row>
    <row r="270" spans="1:17" ht="13.8">
      <c r="A270" s="37" t="s">
        <v>303</v>
      </c>
      <c r="B270" s="52">
        <v>-108.38378461107369</v>
      </c>
      <c r="C270" s="52">
        <v>20.895839786158213</v>
      </c>
      <c r="D270" s="20" t="s">
        <v>64</v>
      </c>
      <c r="E270" s="20" t="s">
        <v>26</v>
      </c>
      <c r="F270" s="21">
        <v>6</v>
      </c>
      <c r="G270" s="6">
        <v>9</v>
      </c>
      <c r="H270" s="3"/>
      <c r="I270" s="3"/>
      <c r="L270" s="8"/>
      <c r="M270" s="8"/>
      <c r="N270" s="8"/>
      <c r="O270" s="8"/>
      <c r="P270" s="8"/>
      <c r="Q270" s="8"/>
    </row>
    <row r="271" spans="1:17" ht="13.8">
      <c r="A271" s="37" t="s">
        <v>304</v>
      </c>
      <c r="B271" s="52">
        <v>-105.20353583918896</v>
      </c>
      <c r="C271" s="52">
        <v>21.045013696622426</v>
      </c>
      <c r="D271" s="20" t="s">
        <v>64</v>
      </c>
      <c r="E271" s="20" t="s">
        <v>26</v>
      </c>
      <c r="F271" s="21">
        <v>6</v>
      </c>
      <c r="G271" s="6">
        <v>10</v>
      </c>
      <c r="H271" s="3"/>
      <c r="I271" s="3"/>
      <c r="L271" s="8"/>
      <c r="M271" s="8"/>
      <c r="N271" s="8"/>
      <c r="O271" s="8"/>
      <c r="P271" s="8"/>
      <c r="Q271" s="8"/>
    </row>
    <row r="272" spans="1:17" ht="13.8">
      <c r="A272" s="40" t="s">
        <v>305</v>
      </c>
      <c r="B272" s="52">
        <v>-102.72117204658892</v>
      </c>
      <c r="C272" s="52">
        <v>21.319171153691805</v>
      </c>
      <c r="D272" s="29" t="s">
        <v>12</v>
      </c>
      <c r="E272" s="29" t="s">
        <v>38</v>
      </c>
      <c r="F272" s="30">
        <v>6</v>
      </c>
      <c r="G272" s="6">
        <v>1</v>
      </c>
      <c r="H272" s="3"/>
      <c r="I272" s="3"/>
      <c r="J272" s="31"/>
      <c r="K272" s="31"/>
      <c r="L272" s="8">
        <f>+AVERAGE(C272:C281)</f>
        <v>21.523982901031872</v>
      </c>
      <c r="M272" s="8">
        <f>+AVERAGE(B272:B281)</f>
        <v>-90.700701246714885</v>
      </c>
      <c r="N272" s="8">
        <f t="shared" ref="N272" si="26">+STDEV(C272:C281)/SQRT(COUNT(C272:C281))</f>
        <v>0.11715627331112301</v>
      </c>
      <c r="O272" s="8">
        <f>+STDEV(B272:B281)/SQRT(COUNT(B272:B281))</f>
        <v>2.9252879458245076</v>
      </c>
      <c r="P272" s="8"/>
    </row>
    <row r="273" spans="1:16" ht="13.8">
      <c r="A273" s="37" t="s">
        <v>306</v>
      </c>
      <c r="B273" s="52">
        <v>-87.36711337099068</v>
      </c>
      <c r="C273" s="52">
        <v>20.927085672809504</v>
      </c>
      <c r="D273" s="20" t="s">
        <v>12</v>
      </c>
      <c r="E273" s="20" t="s">
        <v>38</v>
      </c>
      <c r="F273" s="21">
        <v>6</v>
      </c>
      <c r="G273" s="6">
        <v>2</v>
      </c>
      <c r="H273" s="3"/>
      <c r="I273" s="3"/>
      <c r="L273" s="8"/>
      <c r="M273" s="8"/>
      <c r="N273" s="8"/>
      <c r="O273" s="8"/>
      <c r="P273" s="8"/>
    </row>
    <row r="274" spans="1:16" ht="13.8">
      <c r="A274" s="37" t="s">
        <v>307</v>
      </c>
      <c r="B274" s="52">
        <v>-92.064846635228562</v>
      </c>
      <c r="C274" s="52">
        <v>21.53688442842337</v>
      </c>
      <c r="D274" s="20" t="s">
        <v>12</v>
      </c>
      <c r="E274" s="20" t="s">
        <v>38</v>
      </c>
      <c r="F274" s="21">
        <v>6</v>
      </c>
      <c r="G274" s="6">
        <v>3</v>
      </c>
      <c r="H274" s="3"/>
      <c r="I274" s="3"/>
      <c r="L274" s="8"/>
      <c r="M274" s="8"/>
      <c r="N274" s="8"/>
      <c r="O274" s="8"/>
      <c r="P274" s="8"/>
    </row>
    <row r="275" spans="1:16" ht="13.8">
      <c r="A275" s="37" t="s">
        <v>308</v>
      </c>
      <c r="B275" s="52">
        <v>-79.503977444506745</v>
      </c>
      <c r="C275" s="52">
        <v>21.905787477274075</v>
      </c>
      <c r="D275" s="20" t="s">
        <v>12</v>
      </c>
      <c r="E275" s="20" t="s">
        <v>38</v>
      </c>
      <c r="F275" s="21">
        <v>6</v>
      </c>
      <c r="G275" s="6">
        <v>4</v>
      </c>
      <c r="H275" s="3"/>
      <c r="I275" s="3"/>
      <c r="L275" s="8"/>
      <c r="M275" s="8"/>
      <c r="N275" s="8"/>
      <c r="O275" s="8"/>
      <c r="P275" s="8"/>
    </row>
    <row r="276" spans="1:16" ht="13.8">
      <c r="A276" s="37" t="s">
        <v>309</v>
      </c>
      <c r="B276" s="52">
        <v>-85.322591986464573</v>
      </c>
      <c r="C276" s="52">
        <v>21.277845948765908</v>
      </c>
      <c r="D276" s="20" t="s">
        <v>12</v>
      </c>
      <c r="E276" s="20" t="s">
        <v>38</v>
      </c>
      <c r="F276" s="21">
        <v>6</v>
      </c>
      <c r="G276" s="6">
        <v>5</v>
      </c>
      <c r="H276" s="3"/>
      <c r="I276" s="3"/>
      <c r="L276" s="8"/>
      <c r="M276" s="8"/>
      <c r="N276" s="8"/>
      <c r="O276" s="8"/>
      <c r="P276" s="8"/>
    </row>
    <row r="277" spans="1:16" ht="13.8">
      <c r="A277" s="37" t="s">
        <v>310</v>
      </c>
      <c r="B277" s="52">
        <v>-83.549542321045678</v>
      </c>
      <c r="C277" s="52">
        <v>21.553011337662753</v>
      </c>
      <c r="D277" s="20" t="s">
        <v>12</v>
      </c>
      <c r="E277" s="20" t="s">
        <v>38</v>
      </c>
      <c r="F277" s="21">
        <v>6</v>
      </c>
      <c r="G277" s="6">
        <v>6</v>
      </c>
      <c r="H277" s="3"/>
      <c r="I277" s="3"/>
      <c r="L277" s="8"/>
      <c r="M277" s="8"/>
      <c r="N277" s="8"/>
      <c r="O277" s="8"/>
      <c r="P277" s="8"/>
    </row>
    <row r="278" spans="1:16" ht="13.8">
      <c r="A278" s="37" t="s">
        <v>311</v>
      </c>
      <c r="B278" s="52">
        <v>-78.927100041403932</v>
      </c>
      <c r="C278" s="52">
        <v>22.120476956523255</v>
      </c>
      <c r="D278" s="20" t="s">
        <v>12</v>
      </c>
      <c r="E278" s="20" t="s">
        <v>38</v>
      </c>
      <c r="F278" s="21">
        <v>6</v>
      </c>
      <c r="G278" s="6">
        <v>7</v>
      </c>
      <c r="H278" s="3"/>
      <c r="I278" s="3"/>
      <c r="L278" s="8"/>
      <c r="M278" s="8"/>
      <c r="N278" s="8"/>
      <c r="O278" s="8"/>
      <c r="P278" s="8"/>
    </row>
    <row r="279" spans="1:16" ht="13.8">
      <c r="A279" s="37" t="s">
        <v>312</v>
      </c>
      <c r="B279" s="52">
        <v>-100.86540834175455</v>
      </c>
      <c r="C279" s="52">
        <v>21.327234608311493</v>
      </c>
      <c r="D279" s="20" t="s">
        <v>12</v>
      </c>
      <c r="E279" s="20" t="s">
        <v>38</v>
      </c>
      <c r="F279" s="21">
        <v>6</v>
      </c>
      <c r="G279" s="6">
        <v>8</v>
      </c>
      <c r="H279" s="3"/>
      <c r="I279" s="3"/>
      <c r="L279" s="8"/>
      <c r="M279" s="8"/>
      <c r="N279" s="8"/>
      <c r="O279" s="8"/>
      <c r="P279" s="8"/>
    </row>
    <row r="280" spans="1:16" ht="13.8">
      <c r="A280" s="37" t="s">
        <v>313</v>
      </c>
      <c r="B280" s="52">
        <v>-103.26835723041437</v>
      </c>
      <c r="C280" s="52">
        <v>21.312115630899584</v>
      </c>
      <c r="D280" s="20" t="s">
        <v>12</v>
      </c>
      <c r="E280" s="20" t="s">
        <v>38</v>
      </c>
      <c r="F280" s="21">
        <v>6</v>
      </c>
      <c r="G280" s="6">
        <v>9</v>
      </c>
      <c r="H280" s="3"/>
      <c r="I280" s="3"/>
      <c r="L280" s="8"/>
      <c r="M280" s="8"/>
      <c r="N280" s="8"/>
      <c r="O280" s="8"/>
      <c r="P280" s="8"/>
    </row>
    <row r="281" spans="1:16" ht="13.8">
      <c r="A281" s="37" t="s">
        <v>314</v>
      </c>
      <c r="B281" s="52">
        <v>-93.41690304875074</v>
      </c>
      <c r="C281" s="52">
        <v>21.960215795956969</v>
      </c>
      <c r="D281" s="20" t="s">
        <v>12</v>
      </c>
      <c r="E281" s="20" t="s">
        <v>38</v>
      </c>
      <c r="F281" s="21">
        <v>6</v>
      </c>
      <c r="G281" s="6">
        <v>10</v>
      </c>
      <c r="H281" s="3"/>
      <c r="I281" s="3"/>
      <c r="L281" s="8"/>
      <c r="M281" s="8"/>
      <c r="N281" s="8"/>
      <c r="O281" s="8"/>
      <c r="P281" s="8"/>
    </row>
    <row r="282" spans="1:16" ht="13.8">
      <c r="A282" s="40" t="s">
        <v>315</v>
      </c>
      <c r="B282" s="52">
        <v>-86.058534849981754</v>
      </c>
      <c r="C282" s="52">
        <v>22.434951686691072</v>
      </c>
      <c r="D282" s="29" t="s">
        <v>12</v>
      </c>
      <c r="E282" s="29" t="s">
        <v>26</v>
      </c>
      <c r="F282" s="30">
        <v>6</v>
      </c>
      <c r="G282" s="6">
        <v>1</v>
      </c>
      <c r="H282" s="3"/>
      <c r="I282" s="3"/>
      <c r="J282" s="31"/>
      <c r="K282" s="31"/>
      <c r="L282" s="8">
        <f>+AVERAGE(C282:C291)</f>
        <v>21.593933369857663</v>
      </c>
      <c r="M282" s="8">
        <f>+AVERAGE(B282:B291)</f>
        <v>-86.652909453730132</v>
      </c>
      <c r="N282" s="8">
        <f t="shared" ref="N282" si="27">+STDEV(C282:C291)/SQRT(COUNT(C282:C291))</f>
        <v>0.31093542262836876</v>
      </c>
      <c r="O282" s="8">
        <f>+STDEV(B282:B291)/SQRT(COUNT(B282:B291))</f>
        <v>2.0434796904849648</v>
      </c>
      <c r="P282" s="8"/>
    </row>
    <row r="283" spans="1:16" ht="13.8">
      <c r="A283" s="37" t="s">
        <v>316</v>
      </c>
      <c r="B283" s="52">
        <v>-85.836903641804383</v>
      </c>
      <c r="C283" s="52">
        <v>22.118461092868337</v>
      </c>
      <c r="D283" s="20" t="s">
        <v>12</v>
      </c>
      <c r="E283" s="20" t="s">
        <v>26</v>
      </c>
      <c r="F283" s="21">
        <v>6</v>
      </c>
      <c r="G283" s="6">
        <v>2</v>
      </c>
      <c r="H283" s="3"/>
      <c r="I283" s="3"/>
      <c r="L283" s="8"/>
      <c r="M283" s="8"/>
      <c r="N283" s="8"/>
      <c r="O283" s="8"/>
      <c r="P283" s="8"/>
    </row>
    <row r="284" spans="1:16" ht="13.8">
      <c r="A284" s="37" t="s">
        <v>317</v>
      </c>
      <c r="B284" s="52">
        <v>-85.021428048080026</v>
      </c>
      <c r="C284" s="52">
        <v>21.631630020204696</v>
      </c>
      <c r="D284" s="20" t="s">
        <v>12</v>
      </c>
      <c r="E284" s="20" t="s">
        <v>26</v>
      </c>
      <c r="F284" s="21">
        <v>6</v>
      </c>
      <c r="G284" s="6">
        <v>3</v>
      </c>
      <c r="H284" s="3"/>
      <c r="I284" s="3"/>
      <c r="L284" s="8"/>
      <c r="M284" s="8"/>
      <c r="N284" s="8"/>
      <c r="O284" s="8"/>
      <c r="P284" s="8"/>
    </row>
    <row r="285" spans="1:16" ht="13.8">
      <c r="A285" s="37" t="s">
        <v>318</v>
      </c>
      <c r="B285" s="52">
        <v>-80.235678562412872</v>
      </c>
      <c r="C285" s="52">
        <v>21.562082724109899</v>
      </c>
      <c r="D285" s="20" t="s">
        <v>12</v>
      </c>
      <c r="E285" s="20" t="s">
        <v>26</v>
      </c>
      <c r="F285" s="21">
        <v>6</v>
      </c>
      <c r="G285" s="6">
        <v>4</v>
      </c>
      <c r="H285" s="3"/>
      <c r="I285" s="3"/>
      <c r="L285" s="8"/>
      <c r="M285" s="8"/>
      <c r="N285" s="8"/>
      <c r="O285" s="8"/>
      <c r="P285" s="8"/>
    </row>
    <row r="286" spans="1:16" ht="13.8">
      <c r="A286" s="37" t="s">
        <v>319</v>
      </c>
      <c r="B286" s="52">
        <v>-82.770121565015245</v>
      </c>
      <c r="C286" s="52">
        <v>22.112413501903575</v>
      </c>
      <c r="D286" s="20" t="s">
        <v>12</v>
      </c>
      <c r="E286" s="20" t="s">
        <v>26</v>
      </c>
      <c r="F286" s="21">
        <v>6</v>
      </c>
      <c r="G286" s="6">
        <v>5</v>
      </c>
      <c r="H286" s="3"/>
      <c r="I286" s="3"/>
      <c r="L286" s="8"/>
      <c r="M286" s="8"/>
      <c r="N286" s="8"/>
      <c r="O286" s="8"/>
      <c r="P286" s="8"/>
    </row>
    <row r="287" spans="1:16" ht="13.8">
      <c r="A287" s="37" t="s">
        <v>320</v>
      </c>
      <c r="B287" s="52">
        <v>-75.090441136209208</v>
      </c>
      <c r="C287" s="52">
        <v>20.874673217781535</v>
      </c>
      <c r="D287" s="20" t="s">
        <v>12</v>
      </c>
      <c r="E287" s="20" t="s">
        <v>26</v>
      </c>
      <c r="F287" s="21">
        <v>6</v>
      </c>
      <c r="G287" s="6">
        <v>6</v>
      </c>
      <c r="H287" s="3"/>
      <c r="I287" s="3"/>
      <c r="L287" s="8"/>
      <c r="M287" s="8"/>
      <c r="N287" s="8"/>
      <c r="O287" s="8"/>
      <c r="P287" s="8"/>
    </row>
    <row r="288" spans="1:16" ht="13.8">
      <c r="A288" s="37" t="s">
        <v>321</v>
      </c>
      <c r="B288" s="52">
        <v>-91.508117523778239</v>
      </c>
      <c r="C288" s="52">
        <v>19.494814545987502</v>
      </c>
      <c r="D288" s="20" t="s">
        <v>12</v>
      </c>
      <c r="E288" s="20" t="s">
        <v>26</v>
      </c>
      <c r="F288" s="21">
        <v>6</v>
      </c>
      <c r="G288" s="6">
        <v>7</v>
      </c>
      <c r="H288" s="3"/>
      <c r="I288" s="3"/>
      <c r="L288" s="8"/>
      <c r="M288" s="8"/>
      <c r="N288" s="8"/>
      <c r="O288" s="8"/>
      <c r="P288" s="8"/>
    </row>
    <row r="289" spans="1:17" ht="13.8">
      <c r="A289" s="37" t="s">
        <v>322</v>
      </c>
      <c r="B289" s="52">
        <v>-91.510238396583759</v>
      </c>
      <c r="C289" s="52">
        <v>21.218377970945717</v>
      </c>
      <c r="D289" s="20" t="s">
        <v>12</v>
      </c>
      <c r="E289" s="20" t="s">
        <v>26</v>
      </c>
      <c r="F289" s="21">
        <v>6</v>
      </c>
      <c r="G289" s="6">
        <v>8</v>
      </c>
      <c r="H289" s="3"/>
      <c r="I289" s="3"/>
      <c r="L289" s="8"/>
      <c r="M289" s="8"/>
      <c r="N289" s="8"/>
      <c r="O289" s="8"/>
      <c r="P289" s="8"/>
    </row>
    <row r="290" spans="1:17" ht="13.8">
      <c r="A290" s="37" t="s">
        <v>323</v>
      </c>
      <c r="B290" s="52">
        <v>-97.381874758679729</v>
      </c>
      <c r="C290" s="52">
        <v>23.121353261191977</v>
      </c>
      <c r="D290" s="20" t="s">
        <v>12</v>
      </c>
      <c r="E290" s="20" t="s">
        <v>26</v>
      </c>
      <c r="F290" s="21">
        <v>6</v>
      </c>
      <c r="G290" s="6">
        <v>9</v>
      </c>
      <c r="H290" s="3"/>
      <c r="I290" s="3"/>
      <c r="L290" s="8"/>
      <c r="M290" s="8"/>
      <c r="N290" s="8"/>
      <c r="O290" s="8"/>
      <c r="P290" s="8"/>
    </row>
    <row r="291" spans="1:17" ht="13.8">
      <c r="A291" s="37" t="s">
        <v>324</v>
      </c>
      <c r="B291" s="52">
        <v>-91.115756054756105</v>
      </c>
      <c r="C291" s="52">
        <v>21.370575676892315</v>
      </c>
      <c r="D291" s="20" t="s">
        <v>12</v>
      </c>
      <c r="E291" s="20" t="s">
        <v>26</v>
      </c>
      <c r="F291" s="21">
        <v>6</v>
      </c>
      <c r="G291" s="6">
        <v>10</v>
      </c>
      <c r="H291" s="3"/>
      <c r="I291" s="3"/>
      <c r="L291" s="8"/>
      <c r="M291" s="8"/>
      <c r="N291" s="8"/>
      <c r="O291" s="8"/>
      <c r="P291" s="8"/>
    </row>
    <row r="292" spans="1:17" ht="13.8">
      <c r="A292" s="40" t="s">
        <v>325</v>
      </c>
      <c r="B292" s="52">
        <v>-97.156386478427564</v>
      </c>
      <c r="C292" s="57">
        <v>19.722154438145321</v>
      </c>
      <c r="D292" s="29" t="s">
        <v>64</v>
      </c>
      <c r="E292" s="29" t="s">
        <v>38</v>
      </c>
      <c r="F292" s="30">
        <v>7</v>
      </c>
      <c r="G292" s="6">
        <v>1</v>
      </c>
      <c r="H292" s="3"/>
      <c r="I292" s="3"/>
      <c r="J292" s="31"/>
      <c r="K292" s="44" t="s">
        <v>326</v>
      </c>
      <c r="L292" s="8">
        <f>+AVERAGE(C292:C301)</f>
        <v>20.317823158874923</v>
      </c>
      <c r="M292" s="8">
        <f>+AVERAGE(B292:B301)</f>
        <v>-102.27085314070183</v>
      </c>
      <c r="N292" s="8">
        <f t="shared" ref="N292" si="28">+STDEV(C292:C301)/SQRT(COUNT(C292:C301))</f>
        <v>0.11798330450732135</v>
      </c>
      <c r="O292" s="8">
        <f>+STDEV(B292:B301)/SQRT(COUNT(B292:B301))</f>
        <v>0.84646666979525353</v>
      </c>
      <c r="P292" s="8">
        <f>+B292-2</f>
        <v>-99.156386478427564</v>
      </c>
    </row>
    <row r="293" spans="1:17" ht="13.8">
      <c r="A293" s="37" t="s">
        <v>327</v>
      </c>
      <c r="B293" s="52">
        <v>-100.11799340588706</v>
      </c>
      <c r="C293" s="57">
        <v>20.681645167474606</v>
      </c>
      <c r="D293" s="20" t="s">
        <v>64</v>
      </c>
      <c r="E293" s="20" t="s">
        <v>38</v>
      </c>
      <c r="F293" s="21">
        <v>7</v>
      </c>
      <c r="G293" s="6">
        <v>2</v>
      </c>
      <c r="H293" s="3"/>
      <c r="I293" s="3"/>
      <c r="L293" s="8"/>
      <c r="M293" s="8"/>
      <c r="N293" s="8"/>
      <c r="O293" s="8"/>
      <c r="P293" s="8">
        <f>+B293-2</f>
        <v>-102.11799340588706</v>
      </c>
    </row>
    <row r="294" spans="1:17" ht="13.8">
      <c r="A294" s="37" t="s">
        <v>328</v>
      </c>
      <c r="B294" s="52">
        <v>-102.60315101181411</v>
      </c>
      <c r="C294" s="57">
        <v>20.885672911018002</v>
      </c>
      <c r="D294" s="20" t="s">
        <v>64</v>
      </c>
      <c r="E294" s="20" t="s">
        <v>38</v>
      </c>
      <c r="F294" s="21">
        <v>7</v>
      </c>
      <c r="G294" s="6">
        <v>3</v>
      </c>
      <c r="H294" s="3"/>
      <c r="I294" s="3"/>
      <c r="L294" s="8"/>
      <c r="M294" s="8"/>
      <c r="N294" s="8"/>
      <c r="O294" s="8"/>
      <c r="P294" s="8">
        <f>+B294-2</f>
        <v>-104.60315101181411</v>
      </c>
    </row>
    <row r="295" spans="1:17" ht="13.8">
      <c r="A295" s="37" t="s">
        <v>329</v>
      </c>
      <c r="B295" s="52">
        <v>-101.29794346591923</v>
      </c>
      <c r="C295" s="57">
        <v>20.279852244406108</v>
      </c>
      <c r="D295" s="20" t="s">
        <v>64</v>
      </c>
      <c r="E295" s="20" t="s">
        <v>38</v>
      </c>
      <c r="F295" s="21">
        <v>7</v>
      </c>
      <c r="G295" s="6">
        <v>4</v>
      </c>
      <c r="H295" s="3"/>
      <c r="I295" s="3"/>
      <c r="L295" s="8"/>
      <c r="M295" s="8"/>
      <c r="N295" s="8"/>
      <c r="O295" s="8"/>
      <c r="P295" s="8">
        <f>+B295-2</f>
        <v>-103.29794346591923</v>
      </c>
    </row>
    <row r="296" spans="1:17" ht="13.8">
      <c r="A296" s="37" t="s">
        <v>330</v>
      </c>
      <c r="B296" s="52">
        <v>-99.436331149456421</v>
      </c>
      <c r="C296" s="57">
        <v>19.945958699641228</v>
      </c>
      <c r="D296" s="20" t="s">
        <v>64</v>
      </c>
      <c r="E296" s="20" t="s">
        <v>38</v>
      </c>
      <c r="F296" s="21">
        <v>7</v>
      </c>
      <c r="G296" s="6">
        <v>5</v>
      </c>
      <c r="H296" s="3"/>
      <c r="I296" s="3"/>
      <c r="L296" s="8"/>
      <c r="M296" s="8"/>
      <c r="N296" s="8"/>
      <c r="O296" s="8"/>
      <c r="P296" s="8">
        <f>+B296-2</f>
        <v>-101.43633114945642</v>
      </c>
    </row>
    <row r="297" spans="1:17" ht="13.8">
      <c r="A297" s="37" t="s">
        <v>331</v>
      </c>
      <c r="B297" s="52">
        <v>-104.2263031743381</v>
      </c>
      <c r="C297" s="57">
        <v>20.369505792457481</v>
      </c>
      <c r="D297" s="20" t="s">
        <v>64</v>
      </c>
      <c r="E297" s="20" t="s">
        <v>38</v>
      </c>
      <c r="F297" s="21">
        <v>7</v>
      </c>
      <c r="G297" s="6">
        <v>6</v>
      </c>
      <c r="H297" s="3"/>
      <c r="I297" s="3"/>
      <c r="L297" s="8"/>
      <c r="M297" s="8"/>
      <c r="N297" s="8"/>
      <c r="O297" s="8"/>
      <c r="P297" s="8">
        <f>+B297-2</f>
        <v>-106.2263031743381</v>
      </c>
    </row>
    <row r="298" spans="1:17" ht="13.8">
      <c r="A298" s="37" t="s">
        <v>332</v>
      </c>
      <c r="B298" s="52">
        <v>-104.4934726596323</v>
      </c>
      <c r="C298" s="57">
        <v>20.088020020266757</v>
      </c>
      <c r="D298" s="20" t="s">
        <v>64</v>
      </c>
      <c r="E298" s="20" t="s">
        <v>38</v>
      </c>
      <c r="F298" s="21">
        <v>7</v>
      </c>
      <c r="G298" s="6">
        <v>7</v>
      </c>
      <c r="H298" s="3"/>
      <c r="I298" s="3"/>
      <c r="L298" s="8"/>
      <c r="M298" s="8"/>
      <c r="N298" s="8"/>
      <c r="O298" s="8"/>
      <c r="P298" s="8">
        <f>+B298-2</f>
        <v>-106.4934726596323</v>
      </c>
    </row>
    <row r="299" spans="1:17" ht="13.8">
      <c r="A299" s="37" t="s">
        <v>333</v>
      </c>
      <c r="B299" s="52">
        <v>-105.40319907361786</v>
      </c>
      <c r="C299" s="57">
        <v>20.013198860679758</v>
      </c>
      <c r="D299" s="20" t="s">
        <v>64</v>
      </c>
      <c r="E299" s="20" t="s">
        <v>38</v>
      </c>
      <c r="F299" s="21">
        <v>7</v>
      </c>
      <c r="G299" s="6">
        <v>8</v>
      </c>
      <c r="H299" s="3"/>
      <c r="I299" s="3"/>
      <c r="L299" s="8"/>
      <c r="M299" s="8"/>
      <c r="N299" s="8"/>
      <c r="O299" s="8"/>
      <c r="P299" s="8">
        <f>+B299-2</f>
        <v>-107.40319907361786</v>
      </c>
    </row>
    <row r="300" spans="1:17" ht="13.8">
      <c r="A300" s="37" t="s">
        <v>334</v>
      </c>
      <c r="B300" s="52">
        <v>-103.72555104726861</v>
      </c>
      <c r="C300" s="57">
        <v>20.607812833785228</v>
      </c>
      <c r="D300" s="20" t="s">
        <v>64</v>
      </c>
      <c r="E300" s="20" t="s">
        <v>38</v>
      </c>
      <c r="F300" s="21">
        <v>7</v>
      </c>
      <c r="G300" s="6">
        <v>9</v>
      </c>
      <c r="H300" s="3"/>
      <c r="I300" s="3"/>
      <c r="L300" s="8"/>
      <c r="M300" s="8"/>
      <c r="N300" s="8"/>
      <c r="O300" s="8"/>
      <c r="P300" s="8">
        <f>+B300-2</f>
        <v>-105.72555104726861</v>
      </c>
    </row>
    <row r="301" spans="1:17" ht="13.8">
      <c r="A301" s="37" t="s">
        <v>335</v>
      </c>
      <c r="B301" s="52">
        <v>-104.24819994065705</v>
      </c>
      <c r="C301" s="57">
        <v>20.584410620874756</v>
      </c>
      <c r="D301" s="20" t="s">
        <v>64</v>
      </c>
      <c r="E301" s="20" t="s">
        <v>38</v>
      </c>
      <c r="F301" s="21">
        <v>7</v>
      </c>
      <c r="G301" s="6">
        <v>10</v>
      </c>
      <c r="H301" s="3"/>
      <c r="I301" s="3"/>
      <c r="L301" s="8"/>
      <c r="M301" s="8"/>
      <c r="N301" s="8"/>
      <c r="O301" s="8"/>
      <c r="P301" s="8">
        <f>+B301-2</f>
        <v>-106.24819994065705</v>
      </c>
    </row>
    <row r="302" spans="1:17" ht="13.8">
      <c r="A302" s="40" t="s">
        <v>336</v>
      </c>
      <c r="B302" s="52">
        <v>-97.983024372779084</v>
      </c>
      <c r="C302" s="57">
        <v>20.632816002910904</v>
      </c>
      <c r="D302" s="29" t="s">
        <v>64</v>
      </c>
      <c r="E302" s="29" t="s">
        <v>26</v>
      </c>
      <c r="F302" s="30">
        <v>7</v>
      </c>
      <c r="G302" s="6">
        <v>1</v>
      </c>
      <c r="H302" s="3"/>
      <c r="I302" s="3"/>
      <c r="J302" s="31"/>
      <c r="K302" s="31"/>
      <c r="L302" s="8">
        <f>+AVERAGE(C302:C311)</f>
        <v>20.75502075777316</v>
      </c>
      <c r="M302" s="8">
        <f>+AVERAGE(B302:B311)</f>
        <v>-99.675268784307477</v>
      </c>
      <c r="N302" s="8">
        <f t="shared" ref="N302" si="29">+STDEV(C302:C311)/SQRT(COUNT(C302:C311))</f>
        <v>0.25989719803828149</v>
      </c>
      <c r="O302" s="8">
        <f>+STDEV(B302:B311)/SQRT(COUNT(B302:B311))</f>
        <v>1.6951291909147996</v>
      </c>
      <c r="P302" s="8"/>
      <c r="Q302" s="8"/>
    </row>
    <row r="303" spans="1:17" ht="13.8">
      <c r="A303" s="37" t="s">
        <v>337</v>
      </c>
      <c r="B303" s="52">
        <v>-100.19933645455272</v>
      </c>
      <c r="C303" s="57">
        <v>20.272836289227712</v>
      </c>
      <c r="D303" s="20" t="s">
        <v>64</v>
      </c>
      <c r="E303" s="20" t="s">
        <v>26</v>
      </c>
      <c r="F303" s="21">
        <v>7</v>
      </c>
      <c r="G303" s="6">
        <v>2</v>
      </c>
      <c r="H303" s="3"/>
      <c r="I303" s="3"/>
      <c r="L303" s="8"/>
      <c r="M303" s="8"/>
      <c r="N303" s="8"/>
      <c r="O303" s="8"/>
      <c r="P303" s="8"/>
      <c r="Q303" s="8"/>
    </row>
    <row r="304" spans="1:17" ht="13.8">
      <c r="A304" s="37" t="s">
        <v>338</v>
      </c>
      <c r="B304" s="52">
        <v>-106.2088295490078</v>
      </c>
      <c r="C304" s="57">
        <v>19.541058038037331</v>
      </c>
      <c r="D304" s="20" t="s">
        <v>64</v>
      </c>
      <c r="E304" s="20" t="s">
        <v>26</v>
      </c>
      <c r="F304" s="21">
        <v>7</v>
      </c>
      <c r="G304" s="6">
        <v>3</v>
      </c>
      <c r="H304" s="3"/>
      <c r="I304" s="3"/>
      <c r="L304" s="8"/>
      <c r="M304" s="8"/>
      <c r="N304" s="8"/>
      <c r="O304" s="8"/>
      <c r="P304" s="8"/>
      <c r="Q304" s="8"/>
    </row>
    <row r="305" spans="1:17" ht="13.8">
      <c r="A305" s="37" t="s">
        <v>339</v>
      </c>
      <c r="B305" s="52">
        <v>-93.606603338578253</v>
      </c>
      <c r="C305" s="57">
        <v>20.738479113114309</v>
      </c>
      <c r="D305" s="20" t="s">
        <v>64</v>
      </c>
      <c r="E305" s="20" t="s">
        <v>26</v>
      </c>
      <c r="F305" s="21">
        <v>7</v>
      </c>
      <c r="G305" s="6">
        <v>4</v>
      </c>
      <c r="H305" s="3"/>
      <c r="I305" s="3"/>
      <c r="L305" s="8"/>
      <c r="M305" s="8"/>
      <c r="N305" s="8"/>
      <c r="O305" s="8"/>
      <c r="P305" s="8"/>
      <c r="Q305" s="8"/>
    </row>
    <row r="306" spans="1:17" ht="13.8">
      <c r="A306" s="37" t="s">
        <v>340</v>
      </c>
      <c r="B306" s="52">
        <v>-88.080669243782864</v>
      </c>
      <c r="C306" s="57">
        <v>20.145136487591497</v>
      </c>
      <c r="D306" s="20" t="s">
        <v>64</v>
      </c>
      <c r="E306" s="20" t="s">
        <v>26</v>
      </c>
      <c r="F306" s="21">
        <v>7</v>
      </c>
      <c r="G306" s="6">
        <v>5</v>
      </c>
      <c r="H306" s="3"/>
      <c r="I306" s="3"/>
      <c r="L306" s="8"/>
      <c r="M306" s="8"/>
      <c r="N306" s="8"/>
      <c r="O306" s="8"/>
      <c r="P306" s="8"/>
      <c r="Q306" s="8"/>
    </row>
    <row r="307" spans="1:17" ht="13.8">
      <c r="A307" s="37" t="s">
        <v>341</v>
      </c>
      <c r="B307" s="52">
        <v>-103.20885496559271</v>
      </c>
      <c r="C307" s="57">
        <v>20.270670289642432</v>
      </c>
      <c r="D307" s="20" t="s">
        <v>64</v>
      </c>
      <c r="E307" s="20" t="s">
        <v>26</v>
      </c>
      <c r="F307" s="21">
        <v>7</v>
      </c>
      <c r="G307" s="6">
        <v>6</v>
      </c>
      <c r="H307" s="3"/>
      <c r="I307" s="3"/>
      <c r="L307" s="8"/>
      <c r="M307" s="8"/>
      <c r="N307" s="8"/>
      <c r="O307" s="8"/>
      <c r="P307" s="8"/>
      <c r="Q307" s="8"/>
    </row>
    <row r="308" spans="1:17" ht="13.8">
      <c r="A308" s="37" t="s">
        <v>342</v>
      </c>
      <c r="B308" s="52">
        <v>-102.58425792436559</v>
      </c>
      <c r="C308" s="57">
        <v>21.642124722701507</v>
      </c>
      <c r="D308" s="20" t="s">
        <v>64</v>
      </c>
      <c r="E308" s="20" t="s">
        <v>26</v>
      </c>
      <c r="F308" s="21">
        <v>7</v>
      </c>
      <c r="G308" s="6">
        <v>7</v>
      </c>
      <c r="H308" s="3"/>
      <c r="I308" s="3"/>
      <c r="L308" s="8"/>
      <c r="M308" s="8"/>
      <c r="N308" s="8"/>
      <c r="O308" s="8"/>
      <c r="P308" s="8"/>
      <c r="Q308" s="8"/>
    </row>
    <row r="309" spans="1:17" ht="13.8">
      <c r="A309" s="37" t="s">
        <v>343</v>
      </c>
      <c r="B309" s="52">
        <v>-103.95752306594301</v>
      </c>
      <c r="C309" s="57">
        <v>20.507894331177546</v>
      </c>
      <c r="D309" s="20" t="s">
        <v>64</v>
      </c>
      <c r="E309" s="20" t="s">
        <v>26</v>
      </c>
      <c r="F309" s="21">
        <v>7</v>
      </c>
      <c r="G309" s="6">
        <v>8</v>
      </c>
      <c r="H309" s="3"/>
      <c r="I309" s="3"/>
      <c r="L309" s="8"/>
      <c r="M309" s="8"/>
      <c r="N309" s="8"/>
      <c r="O309" s="8"/>
      <c r="P309" s="8"/>
      <c r="Q309" s="8"/>
    </row>
    <row r="310" spans="1:17" ht="13.8">
      <c r="A310" s="37" t="s">
        <v>344</v>
      </c>
      <c r="B310" s="52">
        <v>-99.755013601795227</v>
      </c>
      <c r="C310" s="57">
        <v>21.523371441091431</v>
      </c>
      <c r="D310" s="20" t="s">
        <v>64</v>
      </c>
      <c r="E310" s="20" t="s">
        <v>26</v>
      </c>
      <c r="F310" s="21">
        <v>7</v>
      </c>
      <c r="G310" s="6">
        <v>9</v>
      </c>
      <c r="H310" s="3"/>
      <c r="I310" s="3"/>
      <c r="L310" s="8"/>
      <c r="M310" s="8"/>
      <c r="N310" s="8"/>
      <c r="O310" s="8"/>
      <c r="P310" s="8"/>
      <c r="Q310" s="8"/>
    </row>
    <row r="311" spans="1:17" ht="13.8">
      <c r="A311" s="37" t="s">
        <v>345</v>
      </c>
      <c r="B311" s="52">
        <v>-101.16857532667764</v>
      </c>
      <c r="C311" s="57">
        <v>22.275820862236927</v>
      </c>
      <c r="D311" s="20" t="s">
        <v>64</v>
      </c>
      <c r="E311" s="20" t="s">
        <v>26</v>
      </c>
      <c r="F311" s="21">
        <v>7</v>
      </c>
      <c r="G311" s="6">
        <v>10</v>
      </c>
      <c r="H311" s="3"/>
      <c r="I311" s="3"/>
      <c r="L311" s="8"/>
      <c r="M311" s="8"/>
      <c r="N311" s="8"/>
      <c r="O311" s="8"/>
      <c r="P311" s="8"/>
      <c r="Q311" s="8"/>
    </row>
    <row r="312" spans="1:17" ht="13.8">
      <c r="A312" s="40" t="s">
        <v>346</v>
      </c>
      <c r="B312" s="52">
        <v>-88.768892469175725</v>
      </c>
      <c r="C312" s="57">
        <v>22.461673044043014</v>
      </c>
      <c r="D312" s="29" t="s">
        <v>12</v>
      </c>
      <c r="E312" s="29" t="s">
        <v>38</v>
      </c>
      <c r="F312" s="30">
        <v>7</v>
      </c>
      <c r="G312" s="6">
        <v>1</v>
      </c>
      <c r="H312" s="3"/>
      <c r="I312" s="3"/>
      <c r="J312" s="31"/>
      <c r="K312" s="31"/>
      <c r="L312" s="8">
        <f>+AVERAGE(C312:C321)</f>
        <v>21.439509587583274</v>
      </c>
      <c r="M312" s="8">
        <f>+AVERAGE(B312:B321)</f>
        <v>-89.103566197887574</v>
      </c>
      <c r="N312" s="8">
        <f t="shared" ref="N312" si="30">+STDEV(C312:C321)/SQRT(COUNT(C312:C321))</f>
        <v>0.54815095887502485</v>
      </c>
      <c r="O312" s="8">
        <f>+STDEV(B312:B321)/SQRT(COUNT(B312:B321))</f>
        <v>3.520815798128099</v>
      </c>
      <c r="P312" s="8"/>
    </row>
    <row r="313" spans="1:17" ht="13.8">
      <c r="A313" s="37" t="s">
        <v>347</v>
      </c>
      <c r="B313" s="52">
        <v>-87.817681015897762</v>
      </c>
      <c r="C313" s="57">
        <v>21.834710338000939</v>
      </c>
      <c r="D313" s="20" t="s">
        <v>12</v>
      </c>
      <c r="E313" s="20" t="s">
        <v>38</v>
      </c>
      <c r="F313" s="21">
        <v>7</v>
      </c>
      <c r="G313" s="6">
        <v>2</v>
      </c>
      <c r="H313" s="3"/>
      <c r="I313" s="3"/>
      <c r="L313" s="8"/>
      <c r="M313" s="8"/>
      <c r="N313" s="8"/>
      <c r="O313" s="8"/>
      <c r="P313" s="8"/>
    </row>
    <row r="314" spans="1:17" ht="13.8">
      <c r="A314" s="37" t="s">
        <v>348</v>
      </c>
      <c r="B314" s="52">
        <v>-83.101920332812938</v>
      </c>
      <c r="C314" s="57">
        <v>21.869272157470323</v>
      </c>
      <c r="D314" s="20" t="s">
        <v>12</v>
      </c>
      <c r="E314" s="20" t="s">
        <v>38</v>
      </c>
      <c r="F314" s="21">
        <v>7</v>
      </c>
      <c r="G314" s="6">
        <v>3</v>
      </c>
      <c r="H314" s="3"/>
      <c r="I314" s="3"/>
      <c r="L314" s="8"/>
      <c r="M314" s="8"/>
      <c r="N314" s="8"/>
      <c r="O314" s="8"/>
      <c r="P314" s="8"/>
    </row>
    <row r="315" spans="1:17" ht="13.8">
      <c r="A315" s="37" t="s">
        <v>349</v>
      </c>
      <c r="B315" s="52">
        <v>-79.528249655503302</v>
      </c>
      <c r="C315" s="57">
        <v>22.037325473119154</v>
      </c>
      <c r="D315" s="20" t="s">
        <v>12</v>
      </c>
      <c r="E315" s="20" t="s">
        <v>38</v>
      </c>
      <c r="F315" s="21">
        <v>7</v>
      </c>
      <c r="G315" s="6">
        <v>4</v>
      </c>
      <c r="H315" s="3"/>
      <c r="I315" s="3"/>
      <c r="L315" s="8"/>
      <c r="M315" s="8"/>
      <c r="N315" s="8"/>
      <c r="O315" s="8"/>
      <c r="P315" s="8"/>
    </row>
    <row r="316" spans="1:17" ht="13.8">
      <c r="A316" s="37" t="s">
        <v>350</v>
      </c>
      <c r="B316" s="52">
        <v>-100.77727429405829</v>
      </c>
      <c r="C316" s="57">
        <v>22.199445833382232</v>
      </c>
      <c r="D316" s="20" t="s">
        <v>12</v>
      </c>
      <c r="E316" s="20" t="s">
        <v>38</v>
      </c>
      <c r="F316" s="21">
        <v>7</v>
      </c>
      <c r="G316" s="6">
        <v>5</v>
      </c>
      <c r="H316" s="3"/>
      <c r="I316" s="3"/>
      <c r="L316" s="8"/>
      <c r="M316" s="8"/>
      <c r="N316" s="8"/>
      <c r="O316" s="8"/>
      <c r="P316" s="8"/>
    </row>
    <row r="317" spans="1:17" ht="13.8">
      <c r="A317" s="37" t="s">
        <v>351</v>
      </c>
      <c r="B317" s="52">
        <v>-84.582289551069366</v>
      </c>
      <c r="C317" s="57">
        <v>21.277813009847755</v>
      </c>
      <c r="D317" s="20" t="s">
        <v>12</v>
      </c>
      <c r="E317" s="20" t="s">
        <v>38</v>
      </c>
      <c r="F317" s="21">
        <v>7</v>
      </c>
      <c r="G317" s="6">
        <v>6</v>
      </c>
      <c r="H317" s="3"/>
      <c r="I317" s="3"/>
      <c r="L317" s="8"/>
      <c r="M317" s="8"/>
      <c r="N317" s="8"/>
      <c r="O317" s="8"/>
      <c r="P317" s="8"/>
    </row>
    <row r="318" spans="1:17" ht="13.8">
      <c r="A318" s="37" t="s">
        <v>352</v>
      </c>
      <c r="B318" s="52">
        <v>-84.597135660708048</v>
      </c>
      <c r="C318" s="57">
        <v>21.693072799902961</v>
      </c>
      <c r="D318" s="20" t="s">
        <v>12</v>
      </c>
      <c r="E318" s="20" t="s">
        <v>38</v>
      </c>
      <c r="F318" s="21">
        <v>7</v>
      </c>
      <c r="G318" s="6">
        <v>7</v>
      </c>
      <c r="H318" s="3"/>
      <c r="I318" s="3"/>
      <c r="L318" s="8"/>
      <c r="M318" s="8"/>
      <c r="N318" s="8"/>
      <c r="O318" s="8"/>
      <c r="P318" s="8"/>
    </row>
    <row r="319" spans="1:17" ht="13.8">
      <c r="A319" s="37" t="s">
        <v>353</v>
      </c>
      <c r="B319" s="52">
        <v>-81.205860044673571</v>
      </c>
      <c r="C319" s="57">
        <v>21.476472841375461</v>
      </c>
      <c r="D319" s="20" t="s">
        <v>12</v>
      </c>
      <c r="E319" s="20" t="s">
        <v>38</v>
      </c>
      <c r="F319" s="21">
        <v>7</v>
      </c>
      <c r="G319" s="6">
        <v>8</v>
      </c>
      <c r="H319" s="3"/>
      <c r="I319" s="3"/>
      <c r="L319" s="8"/>
      <c r="M319" s="8"/>
      <c r="N319" s="8"/>
      <c r="O319" s="8"/>
      <c r="P319" s="8"/>
    </row>
    <row r="320" spans="1:17" ht="13.8">
      <c r="A320" s="37" t="s">
        <v>354</v>
      </c>
      <c r="B320" s="52">
        <v>-84.599256533513568</v>
      </c>
      <c r="C320" s="57">
        <v>22.860782011103662</v>
      </c>
      <c r="D320" s="20" t="s">
        <v>12</v>
      </c>
      <c r="E320" s="20" t="s">
        <v>38</v>
      </c>
      <c r="F320" s="21">
        <v>7</v>
      </c>
      <c r="G320" s="6">
        <v>9</v>
      </c>
      <c r="H320" s="3"/>
      <c r="I320" s="3"/>
      <c r="L320" s="8"/>
      <c r="M320" s="8"/>
      <c r="N320" s="8"/>
      <c r="O320" s="8"/>
      <c r="P320" s="8"/>
    </row>
    <row r="321" spans="1:16" ht="13.8">
      <c r="A321" s="37" t="s">
        <v>355</v>
      </c>
      <c r="B321" s="52">
        <v>-116.05710242146316</v>
      </c>
      <c r="C321" s="57">
        <v>16.684528367587262</v>
      </c>
      <c r="D321" s="20" t="s">
        <v>12</v>
      </c>
      <c r="E321" s="20" t="s">
        <v>38</v>
      </c>
      <c r="F321" s="21">
        <v>7</v>
      </c>
      <c r="G321" s="6">
        <v>10</v>
      </c>
      <c r="H321" s="3"/>
      <c r="I321" s="3"/>
      <c r="L321" s="8"/>
      <c r="M321" s="8"/>
      <c r="N321" s="8"/>
      <c r="O321" s="8"/>
      <c r="P321" s="8"/>
    </row>
    <row r="322" spans="1:16" ht="13.8">
      <c r="A322" s="40" t="s">
        <v>356</v>
      </c>
      <c r="B322" s="52">
        <v>-78.661873114446337</v>
      </c>
      <c r="C322" s="57">
        <v>23.683767679613133</v>
      </c>
      <c r="D322" s="29" t="s">
        <v>12</v>
      </c>
      <c r="E322" s="29" t="s">
        <v>26</v>
      </c>
      <c r="F322" s="30">
        <v>7</v>
      </c>
      <c r="G322" s="6">
        <v>1</v>
      </c>
      <c r="H322" s="3"/>
      <c r="I322" s="3"/>
      <c r="J322" s="31"/>
      <c r="K322" s="31"/>
      <c r="L322" s="8">
        <f>+AVERAGE(C322:C331)</f>
        <v>21.497191098278115</v>
      </c>
      <c r="M322" s="8">
        <f>+AVERAGE(B322:B331)</f>
        <v>-82.136817162658772</v>
      </c>
      <c r="N322" s="8">
        <f t="shared" ref="N322" si="31">+STDEV(C322:C331)/SQRT(COUNT(C322:C331))</f>
        <v>0.56774863020965416</v>
      </c>
      <c r="O322" s="8">
        <f>+STDEV(B322:B331)/SQRT(COUNT(B322:B331))</f>
        <v>4.2004066696483848</v>
      </c>
      <c r="P322" s="8"/>
    </row>
    <row r="323" spans="1:16" ht="13.8">
      <c r="A323" s="37" t="s">
        <v>357</v>
      </c>
      <c r="B323" s="52">
        <v>-73.00338446930563</v>
      </c>
      <c r="C323" s="57">
        <v>21.642218896596518</v>
      </c>
      <c r="D323" s="20" t="s">
        <v>12</v>
      </c>
      <c r="E323" s="20" t="s">
        <v>26</v>
      </c>
      <c r="F323" s="21">
        <v>7</v>
      </c>
      <c r="G323" s="6">
        <v>2</v>
      </c>
      <c r="H323" s="3"/>
      <c r="I323" s="3"/>
      <c r="L323" s="8"/>
      <c r="M323" s="8"/>
      <c r="N323" s="8"/>
      <c r="O323" s="8"/>
      <c r="P323" s="8"/>
    </row>
    <row r="324" spans="1:16" ht="13.8">
      <c r="A324" s="37" t="s">
        <v>358</v>
      </c>
      <c r="B324" s="52">
        <v>-75.669321585850568</v>
      </c>
      <c r="C324" s="57">
        <v>20.171222656509819</v>
      </c>
      <c r="D324" s="20" t="s">
        <v>12</v>
      </c>
      <c r="E324" s="20" t="s">
        <v>26</v>
      </c>
      <c r="F324" s="21">
        <v>7</v>
      </c>
      <c r="G324" s="6">
        <v>3</v>
      </c>
      <c r="H324" s="3"/>
      <c r="I324" s="3"/>
      <c r="L324" s="8"/>
      <c r="M324" s="8"/>
      <c r="N324" s="8"/>
      <c r="O324" s="8"/>
      <c r="P324" s="8"/>
    </row>
    <row r="325" spans="1:16" ht="13.8">
      <c r="A325" s="37" t="s">
        <v>359</v>
      </c>
      <c r="B325" s="52">
        <v>-77.843216211513692</v>
      </c>
      <c r="C325" s="57">
        <v>22.347016326865976</v>
      </c>
      <c r="D325" s="20" t="s">
        <v>12</v>
      </c>
      <c r="E325" s="20" t="s">
        <v>26</v>
      </c>
      <c r="F325" s="21">
        <v>7</v>
      </c>
      <c r="G325" s="6">
        <v>4</v>
      </c>
      <c r="H325" s="3"/>
      <c r="I325" s="3"/>
      <c r="L325" s="8"/>
      <c r="M325" s="8"/>
      <c r="N325" s="8"/>
      <c r="O325" s="8"/>
      <c r="P325" s="8"/>
    </row>
    <row r="326" spans="1:16" ht="13.8">
      <c r="A326" s="37" t="s">
        <v>360</v>
      </c>
      <c r="B326" s="52">
        <v>-75.691590750308563</v>
      </c>
      <c r="C326" s="57">
        <v>21.938019100829067</v>
      </c>
      <c r="D326" s="20" t="s">
        <v>12</v>
      </c>
      <c r="E326" s="20" t="s">
        <v>26</v>
      </c>
      <c r="F326" s="21">
        <v>7</v>
      </c>
      <c r="G326" s="6">
        <v>5</v>
      </c>
      <c r="H326" s="3"/>
      <c r="I326" s="3"/>
      <c r="L326" s="8"/>
      <c r="M326" s="8"/>
      <c r="N326" s="8"/>
      <c r="O326" s="8"/>
      <c r="P326" s="8"/>
    </row>
    <row r="327" spans="1:16" ht="13.8">
      <c r="A327" s="37" t="s">
        <v>361</v>
      </c>
      <c r="B327" s="52">
        <v>-80.500669836836522</v>
      </c>
      <c r="C327" s="57">
        <v>22.191535226201239</v>
      </c>
      <c r="D327" s="20" t="s">
        <v>12</v>
      </c>
      <c r="E327" s="20" t="s">
        <v>26</v>
      </c>
      <c r="F327" s="21">
        <v>7</v>
      </c>
      <c r="G327" s="6">
        <v>6</v>
      </c>
      <c r="H327" s="3"/>
      <c r="I327" s="3"/>
      <c r="L327" s="8"/>
      <c r="M327" s="8"/>
      <c r="N327" s="8"/>
      <c r="O327" s="8"/>
      <c r="P327" s="8"/>
    </row>
    <row r="328" spans="1:16" ht="13.8">
      <c r="A328" s="37" t="s">
        <v>362</v>
      </c>
      <c r="B328" s="52">
        <v>-69.605746234854578</v>
      </c>
      <c r="C328" s="57">
        <v>21.442381891381167</v>
      </c>
      <c r="D328" s="20" t="s">
        <v>12</v>
      </c>
      <c r="E328" s="20" t="s">
        <v>26</v>
      </c>
      <c r="F328" s="21">
        <v>7</v>
      </c>
      <c r="G328" s="6">
        <v>7</v>
      </c>
      <c r="H328" s="3"/>
      <c r="I328" s="3"/>
      <c r="L328" s="8"/>
      <c r="M328" s="8"/>
      <c r="N328" s="8"/>
      <c r="O328" s="8"/>
      <c r="P328" s="8"/>
    </row>
    <row r="329" spans="1:16" ht="13.8">
      <c r="A329" s="37" t="s">
        <v>363</v>
      </c>
      <c r="B329" s="52">
        <v>-116.04225631182447</v>
      </c>
      <c r="C329" s="57">
        <v>17.04050569073247</v>
      </c>
      <c r="D329" s="20" t="s">
        <v>12</v>
      </c>
      <c r="E329" s="20" t="s">
        <v>26</v>
      </c>
      <c r="F329" s="21">
        <v>7</v>
      </c>
      <c r="G329" s="6">
        <v>8</v>
      </c>
      <c r="H329" s="3"/>
      <c r="I329" s="3"/>
      <c r="L329" s="8"/>
      <c r="M329" s="8"/>
      <c r="N329" s="8"/>
      <c r="O329" s="8"/>
      <c r="P329" s="8"/>
    </row>
    <row r="330" spans="1:16" ht="13.8">
      <c r="A330" s="37" t="s">
        <v>364</v>
      </c>
      <c r="B330" s="52">
        <v>-83.266287975241099</v>
      </c>
      <c r="C330" s="57">
        <v>22.135313410879114</v>
      </c>
      <c r="D330" s="20" t="s">
        <v>12</v>
      </c>
      <c r="E330" s="20" t="s">
        <v>26</v>
      </c>
      <c r="F330" s="21">
        <v>7</v>
      </c>
      <c r="G330" s="6">
        <v>9</v>
      </c>
      <c r="H330" s="3"/>
      <c r="I330" s="3"/>
      <c r="L330" s="8"/>
      <c r="M330" s="8"/>
      <c r="N330" s="8"/>
      <c r="O330" s="8"/>
      <c r="P330" s="8"/>
    </row>
    <row r="331" spans="1:16" ht="13.8">
      <c r="A331" s="37" t="s">
        <v>365</v>
      </c>
      <c r="B331" s="52">
        <v>-91.083825136406261</v>
      </c>
      <c r="C331" s="57">
        <v>22.379930103172661</v>
      </c>
      <c r="D331" s="20" t="s">
        <v>12</v>
      </c>
      <c r="E331" s="20" t="s">
        <v>26</v>
      </c>
      <c r="F331" s="21">
        <v>7</v>
      </c>
      <c r="G331" s="6">
        <v>10</v>
      </c>
      <c r="H331" s="3"/>
      <c r="I331" s="3"/>
      <c r="L331" s="8"/>
      <c r="M331" s="8"/>
      <c r="N331" s="8"/>
      <c r="O331" s="8"/>
      <c r="P331" s="8"/>
    </row>
    <row r="332" spans="1:16" ht="13.8">
      <c r="A332" s="40" t="s">
        <v>366</v>
      </c>
      <c r="B332" s="42">
        <v>-104.66697196378105</v>
      </c>
      <c r="C332" s="41">
        <v>20.4956046378785</v>
      </c>
      <c r="D332" s="29" t="s">
        <v>64</v>
      </c>
      <c r="E332" s="29" t="s">
        <v>38</v>
      </c>
      <c r="F332" s="30">
        <v>8</v>
      </c>
      <c r="G332" s="6">
        <v>1</v>
      </c>
      <c r="H332" s="3"/>
      <c r="I332" s="3"/>
      <c r="J332" s="31"/>
      <c r="K332" s="31" t="s">
        <v>109</v>
      </c>
      <c r="L332" s="8">
        <f>+AVERAGE(C332:C341)</f>
        <v>19.637001682375384</v>
      </c>
      <c r="M332" s="8">
        <f>+AVERAGE(B332:B341)</f>
        <v>-106.23600722082033</v>
      </c>
      <c r="N332" s="8">
        <f t="shared" ref="N332" si="32">+STDEV(C332:C341)/SQRT(COUNT(C332:C341))</f>
        <v>0.31845037132206894</v>
      </c>
      <c r="O332" s="8">
        <f>+STDEV(B332:B341)/SQRT(COUNT(B332:B341))</f>
        <v>1.4752903957862116</v>
      </c>
      <c r="P332" s="12"/>
    </row>
    <row r="333" spans="1:16" ht="13.8">
      <c r="A333" s="37" t="s">
        <v>367</v>
      </c>
      <c r="B333" s="39">
        <v>-101.92278283050069</v>
      </c>
      <c r="C333" s="38">
        <v>20.6904830177902</v>
      </c>
      <c r="D333" s="20" t="s">
        <v>64</v>
      </c>
      <c r="E333" s="20" t="s">
        <v>38</v>
      </c>
      <c r="F333" s="21">
        <v>8</v>
      </c>
      <c r="G333" s="6">
        <v>2</v>
      </c>
      <c r="H333" s="3"/>
      <c r="I333" s="3"/>
      <c r="L333" s="8"/>
      <c r="M333" s="8"/>
      <c r="N333" s="8"/>
      <c r="O333" s="8"/>
      <c r="P333" s="12"/>
    </row>
    <row r="334" spans="1:16" ht="13.8">
      <c r="A334" s="37" t="s">
        <v>368</v>
      </c>
      <c r="B334" s="39">
        <v>-110.039058058226</v>
      </c>
      <c r="C334" s="38">
        <v>18.620160510346601</v>
      </c>
      <c r="D334" s="20" t="s">
        <v>64</v>
      </c>
      <c r="E334" s="20" t="s">
        <v>38</v>
      </c>
      <c r="F334" s="21">
        <v>8</v>
      </c>
      <c r="G334" s="6">
        <v>3</v>
      </c>
      <c r="H334" s="3"/>
      <c r="I334" s="3"/>
      <c r="L334" s="8"/>
      <c r="M334" s="8"/>
      <c r="N334" s="8"/>
      <c r="O334" s="8"/>
      <c r="P334" s="12"/>
    </row>
    <row r="335" spans="1:16" ht="13.8">
      <c r="A335" s="37" t="s">
        <v>369</v>
      </c>
      <c r="B335" s="39">
        <v>-110.23629922914</v>
      </c>
      <c r="C335" s="38">
        <v>18.336447155807502</v>
      </c>
      <c r="D335" s="20" t="s">
        <v>64</v>
      </c>
      <c r="E335" s="20" t="s">
        <v>38</v>
      </c>
      <c r="F335" s="21">
        <v>8</v>
      </c>
      <c r="G335" s="6">
        <v>4</v>
      </c>
      <c r="H335" s="3"/>
      <c r="I335" s="3"/>
      <c r="L335" s="8"/>
      <c r="M335" s="8"/>
      <c r="N335" s="8"/>
      <c r="O335" s="8"/>
      <c r="P335" s="12"/>
    </row>
    <row r="336" spans="1:16" ht="13.8">
      <c r="A336" s="37" t="s">
        <v>370</v>
      </c>
      <c r="B336" s="39">
        <v>-112.34771282898986</v>
      </c>
      <c r="C336" s="38">
        <v>18.907673411818099</v>
      </c>
      <c r="D336" s="20" t="s">
        <v>64</v>
      </c>
      <c r="E336" s="20" t="s">
        <v>38</v>
      </c>
      <c r="F336" s="21">
        <v>8</v>
      </c>
      <c r="G336" s="6">
        <v>5</v>
      </c>
      <c r="H336" s="3"/>
      <c r="I336" s="3"/>
      <c r="L336" s="8"/>
      <c r="M336" s="8"/>
      <c r="N336" s="8"/>
      <c r="O336" s="8"/>
      <c r="P336" s="12"/>
    </row>
    <row r="337" spans="1:17" ht="13.8">
      <c r="A337" s="37" t="s">
        <v>371</v>
      </c>
      <c r="B337" s="39">
        <v>-108.938325072159</v>
      </c>
      <c r="C337" s="38">
        <v>19.047474558963401</v>
      </c>
      <c r="D337" s="20" t="s">
        <v>64</v>
      </c>
      <c r="E337" s="20" t="s">
        <v>38</v>
      </c>
      <c r="F337" s="21">
        <v>8</v>
      </c>
      <c r="G337" s="6">
        <v>6</v>
      </c>
      <c r="H337" s="3"/>
      <c r="I337" s="3"/>
      <c r="L337" s="8"/>
      <c r="M337" s="8"/>
      <c r="N337" s="8"/>
      <c r="O337" s="8"/>
      <c r="P337" s="12"/>
    </row>
    <row r="338" spans="1:17" ht="13.8">
      <c r="A338" s="37" t="s">
        <v>372</v>
      </c>
      <c r="B338" s="39">
        <v>-109.484449819581</v>
      </c>
      <c r="C338" s="38">
        <v>18.711947466851399</v>
      </c>
      <c r="D338" s="20" t="s">
        <v>64</v>
      </c>
      <c r="E338" s="20" t="s">
        <v>38</v>
      </c>
      <c r="F338" s="21">
        <v>8</v>
      </c>
      <c r="G338" s="6">
        <v>7</v>
      </c>
      <c r="H338" s="3"/>
      <c r="I338" s="3"/>
      <c r="L338" s="8"/>
      <c r="M338" s="8"/>
      <c r="N338" s="8"/>
      <c r="O338" s="8"/>
      <c r="P338" s="12"/>
    </row>
    <row r="339" spans="1:17" ht="13.8">
      <c r="A339" s="37" t="s">
        <v>373</v>
      </c>
      <c r="B339" s="39">
        <v>-101.5218870370867</v>
      </c>
      <c r="C339" s="38">
        <v>20.609384798369302</v>
      </c>
      <c r="D339" s="20" t="s">
        <v>64</v>
      </c>
      <c r="E339" s="20" t="s">
        <v>38</v>
      </c>
      <c r="F339" s="21">
        <v>8</v>
      </c>
      <c r="G339" s="6">
        <v>8</v>
      </c>
      <c r="H339" s="3"/>
      <c r="I339" s="3"/>
      <c r="L339" s="8"/>
      <c r="M339" s="8"/>
      <c r="N339" s="8"/>
      <c r="O339" s="8"/>
      <c r="P339" s="12"/>
    </row>
    <row r="340" spans="1:17" ht="13.8">
      <c r="A340" s="37" t="s">
        <v>374</v>
      </c>
      <c r="B340" s="39">
        <v>-98.140070626727507</v>
      </c>
      <c r="C340" s="38">
        <v>20.959114053311801</v>
      </c>
      <c r="D340" s="20" t="s">
        <v>64</v>
      </c>
      <c r="E340" s="20" t="s">
        <v>38</v>
      </c>
      <c r="F340" s="21">
        <v>8</v>
      </c>
      <c r="G340" s="6">
        <v>9</v>
      </c>
      <c r="H340" s="3"/>
      <c r="I340" s="3"/>
      <c r="L340" s="8"/>
      <c r="M340" s="8"/>
      <c r="N340" s="8"/>
      <c r="O340" s="8"/>
      <c r="P340" s="12"/>
    </row>
    <row r="341" spans="1:17" ht="13.8">
      <c r="A341" s="37" t="s">
        <v>375</v>
      </c>
      <c r="B341" s="39">
        <v>-105.06251474201147</v>
      </c>
      <c r="C341" s="38">
        <v>19.991727212617057</v>
      </c>
      <c r="D341" s="20" t="s">
        <v>64</v>
      </c>
      <c r="E341" s="20" t="s">
        <v>38</v>
      </c>
      <c r="F341" s="21">
        <v>8</v>
      </c>
      <c r="G341" s="6">
        <v>10</v>
      </c>
      <c r="H341" s="3"/>
      <c r="I341" s="3"/>
      <c r="L341" s="8"/>
      <c r="M341" s="8"/>
      <c r="N341" s="8"/>
      <c r="O341" s="8"/>
      <c r="P341" s="12"/>
    </row>
    <row r="342" spans="1:17" ht="13.8">
      <c r="A342" s="40" t="s">
        <v>376</v>
      </c>
      <c r="B342" s="42">
        <v>-101.89170312191258</v>
      </c>
      <c r="C342" s="41">
        <v>21.178097950762481</v>
      </c>
      <c r="D342" s="29" t="s">
        <v>64</v>
      </c>
      <c r="E342" s="29" t="s">
        <v>26</v>
      </c>
      <c r="F342" s="30">
        <v>8</v>
      </c>
      <c r="G342" s="6">
        <v>1</v>
      </c>
      <c r="H342" s="3"/>
      <c r="I342" s="3"/>
      <c r="J342" s="31"/>
      <c r="K342" s="31"/>
      <c r="L342" s="8">
        <f>+AVERAGE(C342:C351)</f>
        <v>21.576255761483527</v>
      </c>
      <c r="M342" s="8">
        <f>+AVERAGE(B342:B351)</f>
        <v>-100.67816762174667</v>
      </c>
      <c r="N342" s="8">
        <f t="shared" ref="N342" si="33">+STDEV(C342:C351)/SQRT(COUNT(C342:C351))</f>
        <v>0.23421969005887719</v>
      </c>
      <c r="O342" s="8">
        <f>+STDEV(B342:B351)/SQRT(COUNT(B342:B351))</f>
        <v>1.4367347872971927</v>
      </c>
      <c r="P342" s="8"/>
      <c r="Q342" s="8"/>
    </row>
    <row r="343" spans="1:17" ht="13.8">
      <c r="A343" s="37" t="s">
        <v>377</v>
      </c>
      <c r="B343" s="39">
        <v>-97.626619024951893</v>
      </c>
      <c r="C343" s="38">
        <v>22.687783966049935</v>
      </c>
      <c r="D343" s="20" t="s">
        <v>64</v>
      </c>
      <c r="E343" s="20" t="s">
        <v>26</v>
      </c>
      <c r="F343" s="21">
        <v>8</v>
      </c>
      <c r="G343" s="6">
        <v>2</v>
      </c>
      <c r="H343" s="3"/>
      <c r="I343" s="3"/>
      <c r="L343" s="8"/>
      <c r="M343" s="8"/>
      <c r="N343" s="8"/>
      <c r="O343" s="8"/>
      <c r="P343" s="8"/>
      <c r="Q343" s="8"/>
    </row>
    <row r="344" spans="1:17" ht="13.8">
      <c r="A344" s="37" t="s">
        <v>378</v>
      </c>
      <c r="B344" s="39">
        <v>-107.08528433101874</v>
      </c>
      <c r="C344" s="38">
        <v>21.943935760648852</v>
      </c>
      <c r="D344" s="20" t="s">
        <v>64</v>
      </c>
      <c r="E344" s="20" t="s">
        <v>26</v>
      </c>
      <c r="F344" s="21">
        <v>8</v>
      </c>
      <c r="G344" s="6">
        <v>3</v>
      </c>
      <c r="H344" s="3"/>
      <c r="I344" s="3"/>
      <c r="L344" s="8"/>
      <c r="M344" s="8"/>
      <c r="N344" s="8"/>
      <c r="O344" s="8"/>
      <c r="P344" s="8"/>
      <c r="Q344" s="8"/>
    </row>
    <row r="345" spans="1:17" ht="13.8">
      <c r="A345" s="37" t="s">
        <v>379</v>
      </c>
      <c r="B345" s="39">
        <v>-106.60507083197537</v>
      </c>
      <c r="C345" s="38">
        <v>21.003311201620306</v>
      </c>
      <c r="D345" s="20" t="s">
        <v>64</v>
      </c>
      <c r="E345" s="20" t="s">
        <v>26</v>
      </c>
      <c r="F345" s="21">
        <v>8</v>
      </c>
      <c r="G345" s="6">
        <v>4</v>
      </c>
      <c r="H345" s="3"/>
      <c r="I345" s="3"/>
      <c r="L345" s="8"/>
      <c r="M345" s="8"/>
      <c r="N345" s="8"/>
      <c r="O345" s="8"/>
      <c r="P345" s="8"/>
      <c r="Q345" s="8"/>
    </row>
    <row r="346" spans="1:17" ht="13.8">
      <c r="A346" s="37" t="s">
        <v>380</v>
      </c>
      <c r="B346" s="39">
        <v>-102.460930181509</v>
      </c>
      <c r="C346" s="38">
        <v>21.40452338566956</v>
      </c>
      <c r="D346" s="20" t="s">
        <v>64</v>
      </c>
      <c r="E346" s="20" t="s">
        <v>26</v>
      </c>
      <c r="F346" s="21">
        <v>8</v>
      </c>
      <c r="G346" s="6">
        <v>5</v>
      </c>
      <c r="H346" s="3"/>
      <c r="I346" s="3"/>
      <c r="L346" s="8"/>
      <c r="M346" s="8"/>
      <c r="N346" s="8"/>
      <c r="O346" s="8"/>
      <c r="P346" s="8"/>
      <c r="Q346" s="8"/>
    </row>
    <row r="347" spans="1:17" ht="13.8">
      <c r="A347" s="37" t="s">
        <v>381</v>
      </c>
      <c r="B347" s="39">
        <v>-102.41198447013929</v>
      </c>
      <c r="C347" s="38">
        <v>20.535094291270049</v>
      </c>
      <c r="D347" s="20" t="s">
        <v>64</v>
      </c>
      <c r="E347" s="20" t="s">
        <v>26</v>
      </c>
      <c r="F347" s="21">
        <v>8</v>
      </c>
      <c r="G347" s="6">
        <v>6</v>
      </c>
      <c r="H347" s="3"/>
      <c r="I347" s="3"/>
      <c r="L347" s="8"/>
      <c r="M347" s="8"/>
      <c r="N347" s="8"/>
      <c r="O347" s="8"/>
      <c r="P347" s="8"/>
      <c r="Q347" s="8"/>
    </row>
    <row r="348" spans="1:17" ht="13.8">
      <c r="A348" s="37" t="s">
        <v>382</v>
      </c>
      <c r="B348" s="39">
        <v>-96.304719376884606</v>
      </c>
      <c r="C348" s="38">
        <v>21.600797478523642</v>
      </c>
      <c r="D348" s="20" t="s">
        <v>64</v>
      </c>
      <c r="E348" s="20" t="s">
        <v>26</v>
      </c>
      <c r="F348" s="21">
        <v>8</v>
      </c>
      <c r="G348" s="6">
        <v>7</v>
      </c>
      <c r="H348" s="3"/>
      <c r="I348" s="3"/>
      <c r="L348" s="8"/>
      <c r="M348" s="8"/>
      <c r="N348" s="8"/>
      <c r="O348" s="8"/>
      <c r="P348" s="8"/>
      <c r="Q348" s="8"/>
    </row>
    <row r="349" spans="1:17" ht="13.8">
      <c r="A349" s="37" t="s">
        <v>383</v>
      </c>
      <c r="B349" s="39">
        <v>-92.49778204192927</v>
      </c>
      <c r="C349" s="38">
        <v>22.901841229412106</v>
      </c>
      <c r="D349" s="20" t="s">
        <v>64</v>
      </c>
      <c r="E349" s="20" t="s">
        <v>26</v>
      </c>
      <c r="F349" s="21">
        <v>8</v>
      </c>
      <c r="G349" s="6">
        <v>8</v>
      </c>
      <c r="H349" s="3"/>
      <c r="I349" s="3"/>
      <c r="L349" s="8"/>
      <c r="M349" s="8"/>
      <c r="N349" s="8"/>
      <c r="O349" s="8"/>
      <c r="P349" s="8"/>
      <c r="Q349" s="8"/>
    </row>
    <row r="350" spans="1:17" ht="13.8">
      <c r="A350" s="37" t="s">
        <v>384</v>
      </c>
      <c r="B350" s="39">
        <v>-101.61020236856891</v>
      </c>
      <c r="C350" s="38">
        <v>21.241351416912192</v>
      </c>
      <c r="D350" s="20" t="s">
        <v>64</v>
      </c>
      <c r="E350" s="20" t="s">
        <v>26</v>
      </c>
      <c r="F350" s="21">
        <v>8</v>
      </c>
      <c r="G350" s="6">
        <v>9</v>
      </c>
      <c r="H350" s="3"/>
      <c r="I350" s="3"/>
      <c r="L350" s="8"/>
      <c r="M350" s="8"/>
      <c r="N350" s="8"/>
      <c r="O350" s="8"/>
      <c r="P350" s="8"/>
      <c r="Q350" s="8"/>
    </row>
    <row r="351" spans="1:17" ht="13.8">
      <c r="A351" s="37" t="s">
        <v>385</v>
      </c>
      <c r="B351" s="39">
        <v>-98.287380468577211</v>
      </c>
      <c r="C351" s="38">
        <v>21.26582093396614</v>
      </c>
      <c r="D351" s="20" t="s">
        <v>64</v>
      </c>
      <c r="E351" s="20" t="s">
        <v>26</v>
      </c>
      <c r="F351" s="21">
        <v>8</v>
      </c>
      <c r="G351" s="6">
        <v>10</v>
      </c>
      <c r="H351" s="3"/>
      <c r="I351" s="3"/>
      <c r="L351" s="8"/>
      <c r="M351" s="8"/>
      <c r="N351" s="8"/>
      <c r="O351" s="8"/>
      <c r="P351" s="8"/>
      <c r="Q351" s="8"/>
    </row>
    <row r="352" spans="1:17" ht="13.8">
      <c r="A352" s="40" t="s">
        <v>386</v>
      </c>
      <c r="B352" s="42">
        <v>-99.519584340806716</v>
      </c>
      <c r="C352" s="41">
        <v>22.650271964453648</v>
      </c>
      <c r="D352" s="29" t="s">
        <v>12</v>
      </c>
      <c r="E352" s="29" t="s">
        <v>38</v>
      </c>
      <c r="F352" s="30">
        <v>8</v>
      </c>
      <c r="G352" s="6">
        <v>1</v>
      </c>
      <c r="H352" s="3"/>
      <c r="I352" s="3"/>
      <c r="J352" s="31"/>
      <c r="K352" s="31"/>
      <c r="L352" s="8">
        <f>+AVERAGE(C352:C361)</f>
        <v>21.440499983045857</v>
      </c>
      <c r="M352" s="8">
        <f>+AVERAGE(B352:B361)</f>
        <v>-101.35089286926619</v>
      </c>
      <c r="N352" s="8">
        <f t="shared" ref="N352" si="34">+STDEV(C352:C361)/SQRT(COUNT(C352:C361))</f>
        <v>0.3479648565946909</v>
      </c>
      <c r="O352" s="8">
        <f>+STDEV(B352:B361)/SQRT(COUNT(B352:B361))</f>
        <v>2.1639410141166016</v>
      </c>
      <c r="P352" s="8">
        <f>+B352-2</f>
        <v>-101.51958434080672</v>
      </c>
    </row>
    <row r="353" spans="1:16" ht="13.8">
      <c r="A353" s="37" t="s">
        <v>387</v>
      </c>
      <c r="B353" s="39">
        <v>-96.203706302786472</v>
      </c>
      <c r="C353" s="38">
        <v>22.316786506567155</v>
      </c>
      <c r="D353" s="20" t="s">
        <v>12</v>
      </c>
      <c r="E353" s="20" t="s">
        <v>38</v>
      </c>
      <c r="F353" s="21">
        <v>8</v>
      </c>
      <c r="G353" s="6">
        <v>2</v>
      </c>
      <c r="H353" s="3"/>
      <c r="I353" s="3"/>
      <c r="L353" s="8"/>
      <c r="M353" s="8"/>
      <c r="N353" s="8"/>
      <c r="O353" s="8"/>
      <c r="P353" s="8">
        <f>+B353-2</f>
        <v>-98.203706302786472</v>
      </c>
    </row>
    <row r="354" spans="1:16" ht="13.8">
      <c r="A354" s="37" t="s">
        <v>388</v>
      </c>
      <c r="B354" s="39">
        <v>-107.96716743030832</v>
      </c>
      <c r="C354" s="38">
        <v>21.638200810409362</v>
      </c>
      <c r="D354" s="20" t="s">
        <v>12</v>
      </c>
      <c r="E354" s="20" t="s">
        <v>38</v>
      </c>
      <c r="F354" s="21">
        <v>8</v>
      </c>
      <c r="G354" s="6">
        <v>3</v>
      </c>
      <c r="H354" s="3"/>
      <c r="I354" s="3"/>
      <c r="L354" s="8"/>
      <c r="M354" s="8"/>
      <c r="N354" s="8"/>
      <c r="O354" s="8"/>
      <c r="P354" s="8">
        <f>+B354-2</f>
        <v>-109.96716743030832</v>
      </c>
    </row>
    <row r="355" spans="1:16" ht="13.8">
      <c r="A355" s="37" t="s">
        <v>389</v>
      </c>
      <c r="B355" s="39">
        <v>-95.757604690510803</v>
      </c>
      <c r="C355" s="38">
        <v>23.078669012863024</v>
      </c>
      <c r="D355" s="20" t="s">
        <v>12</v>
      </c>
      <c r="E355" s="20" t="s">
        <v>38</v>
      </c>
      <c r="F355" s="21">
        <v>8</v>
      </c>
      <c r="G355" s="6">
        <v>4</v>
      </c>
      <c r="H355" s="3"/>
      <c r="I355" s="3"/>
      <c r="L355" s="8"/>
      <c r="M355" s="8"/>
      <c r="N355" s="8"/>
      <c r="O355" s="8"/>
      <c r="P355" s="8">
        <f>+B355-2</f>
        <v>-97.757604690510803</v>
      </c>
    </row>
    <row r="356" spans="1:16" ht="13.8">
      <c r="A356" s="37" t="s">
        <v>390</v>
      </c>
      <c r="B356" s="39">
        <v>-98.754518661389994</v>
      </c>
      <c r="C356" s="38">
        <v>20.440230387611489</v>
      </c>
      <c r="D356" s="20" t="s">
        <v>12</v>
      </c>
      <c r="E356" s="20" t="s">
        <v>38</v>
      </c>
      <c r="F356" s="21">
        <v>8</v>
      </c>
      <c r="G356" s="6">
        <v>5</v>
      </c>
      <c r="H356" s="3"/>
      <c r="I356" s="3"/>
      <c r="L356" s="8"/>
      <c r="M356" s="8"/>
      <c r="N356" s="8"/>
      <c r="O356" s="8"/>
      <c r="P356" s="8">
        <f>+B356-2</f>
        <v>-100.75451866138999</v>
      </c>
    </row>
    <row r="357" spans="1:16" ht="13.8">
      <c r="A357" s="37" t="s">
        <v>391</v>
      </c>
      <c r="B357" s="39">
        <v>-102.9616452580521</v>
      </c>
      <c r="C357" s="38">
        <v>21.701721102594931</v>
      </c>
      <c r="D357" s="20" t="s">
        <v>12</v>
      </c>
      <c r="E357" s="20" t="s">
        <v>38</v>
      </c>
      <c r="F357" s="21">
        <v>8</v>
      </c>
      <c r="G357" s="6">
        <v>6</v>
      </c>
      <c r="H357" s="3"/>
      <c r="I357" s="3"/>
      <c r="L357" s="8"/>
      <c r="M357" s="8"/>
      <c r="N357" s="8"/>
      <c r="O357" s="8"/>
      <c r="P357" s="8">
        <f>+B357-2</f>
        <v>-104.9616452580521</v>
      </c>
    </row>
    <row r="358" spans="1:16" ht="13.8">
      <c r="A358" s="37" t="s">
        <v>392</v>
      </c>
      <c r="B358" s="39">
        <v>-95.684214145158634</v>
      </c>
      <c r="C358" s="38">
        <v>20.630571525079812</v>
      </c>
      <c r="D358" s="20" t="s">
        <v>12</v>
      </c>
      <c r="E358" s="20" t="s">
        <v>38</v>
      </c>
      <c r="F358" s="21">
        <v>8</v>
      </c>
      <c r="G358" s="6">
        <v>7</v>
      </c>
      <c r="H358" s="3"/>
      <c r="I358" s="3"/>
      <c r="L358" s="8"/>
      <c r="M358" s="8"/>
      <c r="N358" s="8"/>
      <c r="O358" s="8"/>
      <c r="P358" s="8">
        <f>+B358-2</f>
        <v>-97.684214145158634</v>
      </c>
    </row>
    <row r="359" spans="1:16" ht="13.8">
      <c r="A359" s="37" t="s">
        <v>393</v>
      </c>
      <c r="B359" s="39">
        <v>-110.00612170447965</v>
      </c>
      <c r="C359" s="38">
        <v>21.068370267341216</v>
      </c>
      <c r="D359" s="20" t="s">
        <v>12</v>
      </c>
      <c r="E359" s="20" t="s">
        <v>38</v>
      </c>
      <c r="F359" s="21">
        <v>8</v>
      </c>
      <c r="G359" s="6">
        <v>8</v>
      </c>
      <c r="H359" s="3"/>
      <c r="I359" s="3"/>
      <c r="L359" s="8"/>
      <c r="M359" s="8"/>
      <c r="N359" s="8"/>
      <c r="O359" s="8"/>
      <c r="P359" s="8">
        <f>+B359-2</f>
        <v>-112.00612170447965</v>
      </c>
    </row>
    <row r="360" spans="1:16" ht="13.8">
      <c r="A360" s="37" t="s">
        <v>394</v>
      </c>
      <c r="B360" s="39">
        <v>-113.13430089547001</v>
      </c>
      <c r="C360" s="38">
        <v>19.420735191510428</v>
      </c>
      <c r="D360" s="20" t="s">
        <v>12</v>
      </c>
      <c r="E360" s="20" t="s">
        <v>38</v>
      </c>
      <c r="F360" s="21">
        <v>8</v>
      </c>
      <c r="G360" s="6">
        <v>9</v>
      </c>
      <c r="H360" s="3"/>
      <c r="I360" s="3"/>
      <c r="L360" s="8"/>
      <c r="M360" s="8"/>
      <c r="N360" s="8"/>
      <c r="O360" s="8"/>
      <c r="P360" s="8">
        <f>+B360-2</f>
        <v>-115.13430089547001</v>
      </c>
    </row>
    <row r="361" spans="1:16" ht="13.8">
      <c r="A361" s="37" t="s">
        <v>395</v>
      </c>
      <c r="B361" s="39">
        <v>-93.520065263699166</v>
      </c>
      <c r="C361" s="38">
        <v>21.459443062027518</v>
      </c>
      <c r="D361" s="20" t="s">
        <v>12</v>
      </c>
      <c r="E361" s="20" t="s">
        <v>38</v>
      </c>
      <c r="F361" s="21">
        <v>8</v>
      </c>
      <c r="G361" s="6">
        <v>10</v>
      </c>
      <c r="H361" s="3"/>
      <c r="I361" s="3"/>
      <c r="L361" s="8"/>
      <c r="M361" s="8"/>
      <c r="N361" s="8"/>
      <c r="O361" s="8"/>
      <c r="P361" s="8">
        <f>+B361-2</f>
        <v>-95.520065263699166</v>
      </c>
    </row>
    <row r="362" spans="1:16" ht="12.6">
      <c r="G362" s="6"/>
      <c r="H362" s="3"/>
      <c r="I362" s="3"/>
    </row>
    <row r="363" spans="1:16" ht="12.6">
      <c r="G363" s="6"/>
      <c r="H363" s="3"/>
      <c r="I363" s="3"/>
    </row>
    <row r="364" spans="1:16" ht="12.6">
      <c r="G364" s="6"/>
      <c r="H364" s="3"/>
      <c r="I364" s="3"/>
    </row>
    <row r="365" spans="1:16" ht="12.6">
      <c r="G365" s="6"/>
      <c r="H365" s="3"/>
      <c r="I365" s="3"/>
    </row>
    <row r="366" spans="1:16" ht="12.6">
      <c r="G366" s="6"/>
      <c r="H366" s="3"/>
      <c r="I366" s="3"/>
    </row>
    <row r="367" spans="1:16" ht="12.6">
      <c r="G367" s="6"/>
      <c r="H367" s="3"/>
      <c r="I367" s="3"/>
    </row>
    <row r="368" spans="1:16" ht="12.6">
      <c r="G368" s="6"/>
      <c r="H368" s="3"/>
      <c r="I368" s="3"/>
    </row>
    <row r="369" spans="7:9" ht="12.6">
      <c r="G369" s="6"/>
      <c r="H369" s="3"/>
      <c r="I369" s="3"/>
    </row>
    <row r="370" spans="7:9" ht="12.6">
      <c r="G370" s="6"/>
      <c r="H370" s="3"/>
      <c r="I370" s="3"/>
    </row>
    <row r="371" spans="7:9" ht="12.6">
      <c r="G371" s="6"/>
      <c r="H371" s="3"/>
      <c r="I371" s="3"/>
    </row>
    <row r="372" spans="7:9" ht="12.6">
      <c r="G372" s="6"/>
      <c r="H372" s="3"/>
      <c r="I372" s="3"/>
    </row>
    <row r="373" spans="7:9" ht="12.6">
      <c r="G373" s="6"/>
      <c r="H373" s="3"/>
      <c r="I373" s="3"/>
    </row>
    <row r="374" spans="7:9" ht="12.6">
      <c r="G374" s="6"/>
      <c r="H374" s="3"/>
      <c r="I374" s="3"/>
    </row>
    <row r="375" spans="7:9" ht="12.6">
      <c r="G375" s="6"/>
      <c r="H375" s="3"/>
      <c r="I375" s="3"/>
    </row>
    <row r="376" spans="7:9" ht="12.6">
      <c r="G376" s="6"/>
      <c r="H376" s="3"/>
      <c r="I376" s="3"/>
    </row>
    <row r="377" spans="7:9" ht="12.6">
      <c r="G377" s="6"/>
      <c r="H377" s="3"/>
      <c r="I377" s="3"/>
    </row>
    <row r="378" spans="7:9" ht="12.6">
      <c r="G378" s="6"/>
      <c r="H378" s="3"/>
      <c r="I378" s="3"/>
    </row>
    <row r="379" spans="7:9" ht="12.6">
      <c r="G379" s="6"/>
      <c r="H379" s="3"/>
      <c r="I379" s="3"/>
    </row>
    <row r="380" spans="7:9" ht="12.6">
      <c r="G380" s="6"/>
      <c r="H380" s="3"/>
      <c r="I380" s="3"/>
    </row>
    <row r="381" spans="7:9" ht="12.6">
      <c r="G381" s="6"/>
      <c r="H381" s="3"/>
      <c r="I381" s="3"/>
    </row>
    <row r="382" spans="7:9" ht="12.6">
      <c r="G382" s="6"/>
      <c r="H382" s="3"/>
      <c r="I382" s="3"/>
    </row>
    <row r="383" spans="7:9" ht="12.6">
      <c r="G383" s="6"/>
      <c r="H383" s="3"/>
      <c r="I383" s="3"/>
    </row>
    <row r="384" spans="7:9" ht="12.6">
      <c r="G384" s="6"/>
      <c r="H384" s="3"/>
      <c r="I384" s="3"/>
    </row>
    <row r="385" spans="7:9" ht="12.6">
      <c r="G385" s="6"/>
      <c r="H385" s="3"/>
      <c r="I385" s="3"/>
    </row>
    <row r="386" spans="7:9" ht="12.6">
      <c r="G386" s="6"/>
      <c r="H386" s="3"/>
      <c r="I386" s="3"/>
    </row>
    <row r="387" spans="7:9" ht="12.6">
      <c r="G387" s="6"/>
      <c r="H387" s="3"/>
      <c r="I387" s="3"/>
    </row>
    <row r="388" spans="7:9" ht="12.6">
      <c r="G388" s="6"/>
      <c r="H388" s="3"/>
      <c r="I388" s="3"/>
    </row>
    <row r="389" spans="7:9" ht="12.6">
      <c r="G389" s="6"/>
      <c r="H389" s="3"/>
      <c r="I389" s="3"/>
    </row>
    <row r="390" spans="7:9" ht="12.6">
      <c r="G390" s="6"/>
      <c r="H390" s="3"/>
      <c r="I390" s="3"/>
    </row>
    <row r="391" spans="7:9" ht="12.6">
      <c r="G391" s="6"/>
      <c r="H391" s="3"/>
      <c r="I391" s="3"/>
    </row>
    <row r="392" spans="7:9" ht="12.6">
      <c r="G392" s="6"/>
      <c r="H392" s="3"/>
      <c r="I392" s="3"/>
    </row>
    <row r="393" spans="7:9" ht="12.6">
      <c r="G393" s="6"/>
      <c r="H393" s="3"/>
      <c r="I393" s="3"/>
    </row>
    <row r="394" spans="7:9" ht="12.6">
      <c r="G394" s="6"/>
      <c r="H394" s="3"/>
      <c r="I394" s="3"/>
    </row>
    <row r="395" spans="7:9" ht="12.6">
      <c r="G395" s="6"/>
      <c r="H395" s="3"/>
      <c r="I395" s="3"/>
    </row>
    <row r="396" spans="7:9" ht="12.6">
      <c r="G396" s="6"/>
      <c r="H396" s="3"/>
      <c r="I396" s="3"/>
    </row>
    <row r="397" spans="7:9" ht="12.6">
      <c r="G397" s="6"/>
      <c r="H397" s="3"/>
      <c r="I397" s="3"/>
    </row>
    <row r="398" spans="7:9" ht="12.6">
      <c r="G398" s="6"/>
      <c r="H398" s="3"/>
      <c r="I398" s="3"/>
    </row>
    <row r="399" spans="7:9" ht="12.6">
      <c r="G399" s="6"/>
      <c r="H399" s="3"/>
      <c r="I399" s="3"/>
    </row>
    <row r="400" spans="7:9" ht="12.6">
      <c r="G400" s="6"/>
      <c r="H400" s="3"/>
      <c r="I400" s="3"/>
    </row>
    <row r="401" spans="7:9" ht="12.6">
      <c r="G401" s="6"/>
      <c r="H401" s="3"/>
      <c r="I401" s="3"/>
    </row>
  </sheetData>
  <autoFilter ref="A1:M361" xr:uid="{65BA0B86-C508-43F4-AC5B-C6853352D092}">
    <sortState xmlns:xlrd2="http://schemas.microsoft.com/office/spreadsheetml/2017/richdata2" ref="A2:K171">
      <sortCondition ref="I1:I211"/>
    </sortState>
  </autoFilter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05B2-6142-4F8B-BFC9-CF9BB84F2068}">
  <sheetPr codeName="Sheet11"/>
  <dimension ref="A1:U37"/>
  <sheetViews>
    <sheetView tabSelected="1" zoomScale="40" zoomScaleNormal="40" workbookViewId="0">
      <selection activeCell="I2" sqref="I2:L37"/>
    </sheetView>
  </sheetViews>
  <sheetFormatPr defaultRowHeight="12.6"/>
  <cols>
    <col min="1" max="5" width="8.88671875" style="3"/>
    <col min="6" max="6" width="19.33203125" style="3" bestFit="1" customWidth="1"/>
    <col min="7" max="16384" width="8.88671875" style="3"/>
  </cols>
  <sheetData>
    <row r="1" spans="1:21" ht="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396</v>
      </c>
      <c r="N1" s="2" t="s">
        <v>397</v>
      </c>
      <c r="O1" s="2" t="s">
        <v>398</v>
      </c>
      <c r="P1" s="2" t="s">
        <v>399</v>
      </c>
      <c r="Q1" s="2" t="s">
        <v>400</v>
      </c>
      <c r="R1" s="2" t="s">
        <v>401</v>
      </c>
    </row>
    <row r="2" spans="1:21">
      <c r="A2" s="4" t="s">
        <v>11</v>
      </c>
      <c r="B2" s="5">
        <v>24.340407881497988</v>
      </c>
      <c r="C2" s="5">
        <v>-98.797598654552672</v>
      </c>
      <c r="D2" s="5" t="s">
        <v>12</v>
      </c>
      <c r="E2" s="6">
        <v>1</v>
      </c>
      <c r="F2" s="5" t="s">
        <v>13</v>
      </c>
      <c r="G2" s="7">
        <v>0</v>
      </c>
      <c r="I2" s="8">
        <v>23.842153989143974</v>
      </c>
      <c r="J2" s="8">
        <v>-99.352843155039125</v>
      </c>
      <c r="K2" s="8">
        <v>0.30397236976338304</v>
      </c>
      <c r="L2" s="8">
        <v>1.9230322849013377</v>
      </c>
      <c r="O2" s="8">
        <v>0</v>
      </c>
      <c r="P2" s="8">
        <f>I2+MAX(K2,K3,K4,K5,K10,K11,K12,K13,K16,K17,K18,K25,K26,K29,K30,K33,K34,K37)-MIN(I2,I3,I4,I5,I10,I11,I12,I13,I16,I17,I18,I25,I26,I29,I30,I33,I34,I37)</f>
        <v>4.0587058063379615</v>
      </c>
      <c r="Q2" s="8">
        <f>+MAX(J2,J3,J4,J5,J10,J11,J12,J13,J16,J17,J18,J25,J26,J29,J30,J33,J34,J37)+MAX(L2,L3,L4,L5,L10,L11,L12,L13,L16,L17,L18,L25,L26,L29,L30,L33,L34,L37)-J2</f>
        <v>22.18684388696272</v>
      </c>
      <c r="R2" s="8">
        <f>J2+MAX(L2,L3,L4,L5,L10,L11,L12,L13,L16,L17,L18,L25,L26,L29,L30,L33,L34,L37)-MIN(J2,J3,J4,J5,J10,J11,J12,J13,J16,J17,J18,J25,J26,J29,J30,J33,J34,J37)</f>
        <v>6.1984563838754525</v>
      </c>
      <c r="U2" s="5" t="s">
        <v>402</v>
      </c>
    </row>
    <row r="3" spans="1:21">
      <c r="A3" s="4" t="s">
        <v>25</v>
      </c>
      <c r="B3" s="5">
        <v>25.678379285898203</v>
      </c>
      <c r="C3" s="5">
        <v>-86.605761331992213</v>
      </c>
      <c r="D3" s="5" t="s">
        <v>12</v>
      </c>
      <c r="E3" s="6">
        <v>1</v>
      </c>
      <c r="F3" s="5" t="s">
        <v>26</v>
      </c>
      <c r="G3" s="7">
        <v>1</v>
      </c>
      <c r="I3" s="8">
        <v>23.269846204031339</v>
      </c>
      <c r="J3" s="8">
        <v>-81.694286192734936</v>
      </c>
      <c r="K3" s="8">
        <v>0.54863076591115467</v>
      </c>
      <c r="L3" s="8">
        <v>1.8964765754988202</v>
      </c>
      <c r="U3" s="9" t="s">
        <v>403</v>
      </c>
    </row>
    <row r="4" spans="1:21">
      <c r="A4" s="4" t="s">
        <v>37</v>
      </c>
      <c r="B4" s="9">
        <v>24.911667134765047</v>
      </c>
      <c r="C4" s="5">
        <v>-91.113037081508097</v>
      </c>
      <c r="D4" s="5" t="s">
        <v>12</v>
      </c>
      <c r="E4" s="6">
        <v>1</v>
      </c>
      <c r="F4" s="9" t="s">
        <v>38</v>
      </c>
      <c r="G4" s="7">
        <v>1</v>
      </c>
      <c r="H4" s="3" t="s">
        <v>40</v>
      </c>
      <c r="I4" s="8">
        <v>23.857991798827172</v>
      </c>
      <c r="J4" s="8">
        <v>-87.182990497598354</v>
      </c>
      <c r="K4" s="8">
        <v>0.37422536740401885</v>
      </c>
      <c r="L4" s="8">
        <v>1.7132716258913603</v>
      </c>
      <c r="U4" s="14" t="s">
        <v>402</v>
      </c>
    </row>
    <row r="5" spans="1:21">
      <c r="A5" s="4" t="s">
        <v>50</v>
      </c>
      <c r="B5" s="9">
        <v>21.852852260008731</v>
      </c>
      <c r="C5" s="5">
        <v>-70.525724758276922</v>
      </c>
      <c r="D5" s="5" t="s">
        <v>12</v>
      </c>
      <c r="E5" s="6">
        <v>1</v>
      </c>
      <c r="F5" s="9" t="s">
        <v>51</v>
      </c>
      <c r="G5" s="11">
        <v>1</v>
      </c>
      <c r="I5" s="8">
        <v>24.526356928731701</v>
      </c>
      <c r="J5" s="8">
        <v>-81.840687219393061</v>
      </c>
      <c r="K5" s="8">
        <v>0.8314026083411461</v>
      </c>
      <c r="L5" s="8">
        <v>2.4044216320043375</v>
      </c>
      <c r="U5" s="14" t="s">
        <v>403</v>
      </c>
    </row>
    <row r="6" spans="1:21">
      <c r="A6" s="4" t="s">
        <v>63</v>
      </c>
      <c r="B6" s="5">
        <v>21.173227138600915</v>
      </c>
      <c r="C6" s="5">
        <v>-108.09230678037606</v>
      </c>
      <c r="D6" s="5" t="s">
        <v>64</v>
      </c>
      <c r="E6" s="6">
        <v>1</v>
      </c>
      <c r="F6" s="5" t="s">
        <v>65</v>
      </c>
      <c r="G6" s="7">
        <v>0</v>
      </c>
      <c r="I6" s="8">
        <v>21.777870113972547</v>
      </c>
      <c r="J6" s="8">
        <v>-102.54453616787869</v>
      </c>
      <c r="K6" s="8">
        <v>0.21776400792349368</v>
      </c>
      <c r="L6" s="8">
        <v>1.1950999739189225</v>
      </c>
      <c r="M6" s="8">
        <f>-MIN(AllSorgesMean!$I$6,AllSorgesMean!$I$7,AllSorgesMean!$I$14,AllSorgesMean!$I$20,AllSorgesMean!$I$21,AllSorgesMean!$I$24,AllSorgesMean!$I$28,AllSorgesMean!$I$32,AllSorgesMean!$I$36, AllSorgesMean!$I$6,AllSorgesMean!$I$8,AllSorgesMean!$I$15,AllSorgesMean!$I$19,AllSorgesMean!$I$22,AllSorgesMean!$I$23,AllSorgesMean!$I$27,AllSorgesMean!$I$31,AllSorgesMean!$I$35) - MAX( AllSorgesMean!$K$6,AllSorgesMean!$K$7,AllSorgesMean!$K$14,AllSorgesMean!$K$20,AllSorgesMean!$K$21,AllSorgesMean!$K$24,AllSorgesMean!$K$28,AllSorgesMean!$K$32,AllSorgesMean!$K$36, AllSorgesMean!$K$6,AllSorgesMean!$K$8,AllSorgesMean!$K$15,AllSorgesMean!$K$19,AllSorgesMean!$K$22,AllSorgesMean!$K$23,AllSorgesMean!$K$27,AllSorgesMean!$K$31,AllSorgesMean!$K$35)+ MAX(AllSorgesMean!$I$6,AllSorgesMean!$I$7,AllSorgesMean!$I$14,AllSorgesMean!$I$20,AllSorgesMean!$I$21,AllSorgesMean!$I$24,AllSorgesMean!$I$28,AllSorgesMean!$I$32,AllSorgesMean!$I$36, AllSorgesMean!$I$6,AllSorgesMean!$I$8,AllSorgesMean!$I$15,AllSorgesMean!$I$19,AllSorgesMean!$I$22,AllSorgesMean!$I$23,AllSorgesMean!$I$27,AllSorgesMean!$I$31,AllSorgesMean!$I$35) + MAX( AllSorgesMean!$K$6,AllSorgesMean!$K$7,AllSorgesMean!$K$14,AllSorgesMean!$K$20,AllSorgesMean!$K$21,AllSorgesMean!$K$24,AllSorgesMean!$K$28,AllSorgesMean!$K$32,AllSorgesMean!$K$36, AllSorgesMean!$K$6,AllSorgesMean!$K$8,AllSorgesMean!$K$15,AllSorgesMean!$K$19,AllSorgesMean!$K$22,AllSorgesMean!$K$23,AllSorgesMean!$K$27,AllSorgesMean!$K$31,AllSorgesMean!$K$35)</f>
        <v>4.5785241707887216</v>
      </c>
      <c r="N6" s="8">
        <f>+MAX(AllSorgesMean!$J$6,AllSorgesMean!$J$7,AllSorgesMean!$J$14,AllSorgesMean!$J$20,AllSorgesMean!$J$21,AllSorgesMean!$J$24,AllSorgesMean!$J$28,AllSorgesMean!$J$32,AllSorgesMean!$J$36, AllSorgesMean!$J$6,AllSorgesMean!$J$8,AllSorgesMean!$J$15,AllSorgesMean!$J$19,AllSorgesMean!$J$22,AllSorgesMean!$J$23,AllSorgesMean!$J$27,AllSorgesMean!$J$31,AllSorgesMean!$J$35) +MAX(AllSorgesMean!$L$6,AllSorgesMean!$L$7,AllSorgesMean!$L$14,AllSorgesMean!$L$20,AllSorgesMean!$L$21,AllSorgesMean!$L$24,AllSorgesMean!$L$28,AllSorgesMean!$L$32,AllSorgesMean!$L$36, AllSorgesMean!$L$6,AllSorgesMean!$L$8,AllSorgesMean!$L$15,AllSorgesMean!$L$19,AllSorgesMean!$L$22,AllSorgesMean!$L$23,AllSorgesMean!$L$27,AllSorgesMean!$L$31,AllSorgesMean!$L$35) -MIN(AllSorgesMean!$J$6,AllSorgesMean!$J$7,AllSorgesMean!$J$14,AllSorgesMean!$J$20,AllSorgesMean!$J$21,AllSorgesMean!$J$24,AllSorgesMean!$J$28,AllSorgesMean!$J$32,AllSorgesMean!$J$36, AllSorgesMean!$J$6,AllSorgesMean!$J$8,AllSorgesMean!$J$15,AllSorgesMean!$J$19,AllSorgesMean!$J$22,AllSorgesMean!$J$23,AllSorgesMean!$J$27,AllSorgesMean!$J$31,AllSorgesMean!$J$35) - MAX( AllSorgesMean!$L$6,AllSorgesMean!$L$7,AllSorgesMean!$L$14,AllSorgesMean!$L$20,AllSorgesMean!$L$21,AllSorgesMean!$L$24,AllSorgesMean!$L$28,AllSorgesMean!$L$32,AllSorgesMean!$L$36, AllSorgesMean!$L$6,AllSorgesMean!$L$8,AllSorgesMean!$L$15,AllSorgesMean!$L$19,AllSorgesMean!$L$22,AllSorgesMean!$L$23,AllSorgesMean!$L$27,AllSorgesMean!$L$31,AllSorgesMean!$L$35)</f>
        <v>16.293295802076369</v>
      </c>
      <c r="O6" s="8">
        <f>+MAX(AllSorgesMean!$I$6,AllSorgesMean!$I$7,AllSorgesMean!$I$14,AllSorgesMean!$I$20,AllSorgesMean!$I$21,AllSorgesMean!$I$24,AllSorgesMean!$I$28,AllSorgesMean!$I$32,AllSorgesMean!$I$36, AllSorgesMean!$I$6,AllSorgesMean!$I$8,AllSorgesMean!$I$15,AllSorgesMean!$I$19,AllSorgesMean!$I$22,AllSorgesMean!$I$23,AllSorgesMean!$I$27,AllSorgesMean!$I$31,AllSorgesMean!$I$35) + MAX( $K$6,AllSorgesMean!$K$7,AllSorgesMean!$K$14,AllSorgesMean!$K$20,AllSorgesMean!$K$21,AllSorgesMean!$K$24,AllSorgesMean!$K$28,AllSorgesMean!$K$32,AllSorgesMean!$K$36, AllSorgesMean!$K$6,AllSorgesMean!$K$8,AllSorgesMean!$K$15,AllSorgesMean!$K$19,AllSorgesMean!$K$22,AllSorgesMean!$K$23,AllSorgesMean!$K$27,AllSorgesMean!$K$31,AllSorgesMean!$K$35)-I6</f>
        <v>2.2871474756629055</v>
      </c>
      <c r="P6" s="8">
        <f>-MIN(AllSorgesMean!$I$6,AllSorgesMean!$I$7,AllSorgesMean!$I$14,AllSorgesMean!$I$20,AllSorgesMean!$I$21,AllSorgesMean!$I$24,AllSorgesMean!$I$28,AllSorgesMean!$I$32,AllSorgesMean!$I$36, AllSorgesMean!$I$6,AllSorgesMean!$I$8,AllSorgesMean!$I$15,AllSorgesMean!$I$19,AllSorgesMean!$I$22,AllSorgesMean!$I$23,AllSorgesMean!$I$27,AllSorgesMean!$I$31,AllSorgesMean!$I$35) + MAX( AllSorgesMean!$K$6,AllSorgesMean!$K$7,AllSorgesMean!$K$14,AllSorgesMean!$K$20,AllSorgesMean!$K$21,AllSorgesMean!$K$24,AllSorgesMean!$K$28,AllSorgesMean!$K$32,AllSorgesMean!$K$36, AllSorgesMean!$K$6,AllSorgesMean!$K$8,AllSorgesMean!$K$15,AllSorgesMean!$K$19,AllSorgesMean!$K$22,AllSorgesMean!$K$23,AllSorgesMean!$K$27,AllSorgesMean!$K$31,AllSorgesMean!$K$35)+I6</f>
        <v>2.9282774377699532</v>
      </c>
      <c r="Q6" s="8">
        <f>++MAX(AllSorgesMean!$J$6,AllSorgesMean!$J$7,AllSorgesMean!$J$14,AllSorgesMean!$J$20,AllSorgesMean!$J$21,AllSorgesMean!$J$24,AllSorgesMean!$J$28,AllSorgesMean!$J$32,AllSorgesMean!$J$36, AllSorgesMean!$J$6,AllSorgesMean!$J$8,AllSorgesMean!$J$15,AllSorgesMean!$J$19,AllSorgesMean!$J$22,AllSorgesMean!$J$23,AllSorgesMean!$J$27,AllSorgesMean!$J$31,AllSorgesMean!$J$35) +MAX(AllSorgesMean!$L$6,AllSorgesMean!$L$7,AllSorgesMean!$L$14,AllSorgesMean!$L$20,AllSorgesMean!$L$21,AllSorgesMean!$L$24,AllSorgesMean!$L$28,AllSorgesMean!$L$32,AllSorgesMean!$L$36, AllSorgesMean!$L$6,AllSorgesMean!$L$8,AllSorgesMean!$L$15,AllSorgesMean!$L$19,AllSorgesMean!$L$22,AllSorgesMean!$L$23,AllSorgesMean!$L$27,AllSorgesMean!$L$31,AllSorgesMean!$L$35)-J6</f>
        <v>9.8064091406536988</v>
      </c>
      <c r="R6" s="8">
        <f>+J6-MIN(AllSorgesMean!$J$6,AllSorgesMean!$J$7,AllSorgesMean!$J$14,AllSorgesMean!$J$20,AllSorgesMean!$J$21,AllSorgesMean!$J$24,AllSorgesMean!$J$28,AllSorgesMean!$J$32,AllSorgesMean!$J$36, AllSorgesMean!$J$6,AllSorgesMean!$J$8,AllSorgesMean!$J$15,AllSorgesMean!$J$19,AllSorgesMean!$J$22,AllSorgesMean!$J$23,AllSorgesMean!$J$27,AllSorgesMean!$J$31,AllSorgesMean!$J$35) + MAX( AllSorgesMean!$L$6,AllSorgesMean!$L$7,AllSorgesMean!$L$14,AllSorgesMean!$L$20,AllSorgesMean!$L$21,AllSorgesMean!$L$24,AllSorgesMean!$L$28,AllSorgesMean!$L$32,AllSorgesMean!$L$36, AllSorgesMean!$L$6,AllSorgesMean!$L$8,AllSorgesMean!$L$15,AllSorgesMean!$L$19,AllSorgesMean!$L$22,AllSorgesMean!$L$23,AllSorgesMean!$L$27,AllSorgesMean!$L$31,AllSorgesMean!$L$35)</f>
        <v>12.265743593424293</v>
      </c>
    </row>
    <row r="7" spans="1:21">
      <c r="A7" s="13" t="s">
        <v>76</v>
      </c>
      <c r="B7" s="14">
        <v>22.5903423419281</v>
      </c>
      <c r="C7" s="15">
        <v>-101.180760983971</v>
      </c>
      <c r="D7" s="15" t="s">
        <v>64</v>
      </c>
      <c r="E7" s="6">
        <v>1</v>
      </c>
      <c r="F7" s="14" t="s">
        <v>26</v>
      </c>
      <c r="G7" s="16">
        <v>1</v>
      </c>
      <c r="H7" s="17" t="s">
        <v>40</v>
      </c>
      <c r="I7" s="8">
        <v>23.147240334140797</v>
      </c>
      <c r="J7" s="8">
        <v>-100.86640089591623</v>
      </c>
      <c r="K7" s="8">
        <v>0.16037643856611361</v>
      </c>
      <c r="L7" s="8">
        <v>1.1705154073832733</v>
      </c>
    </row>
    <row r="8" spans="1:21">
      <c r="A8" s="13" t="s">
        <v>87</v>
      </c>
      <c r="B8" s="14">
        <v>23.433239945299498</v>
      </c>
      <c r="C8" s="15">
        <v>-104.72479874736756</v>
      </c>
      <c r="D8" s="15" t="s">
        <v>64</v>
      </c>
      <c r="E8" s="6">
        <v>1</v>
      </c>
      <c r="F8" s="14" t="s">
        <v>38</v>
      </c>
      <c r="G8" s="16">
        <v>1</v>
      </c>
      <c r="H8" s="10" t="s">
        <v>40</v>
      </c>
      <c r="I8" s="8">
        <v>23.746567218313384</v>
      </c>
      <c r="J8" s="8">
        <v>-99.239585410438252</v>
      </c>
      <c r="K8" s="8">
        <v>0.23116484455682734</v>
      </c>
      <c r="L8" s="8">
        <v>0.90617656358420551</v>
      </c>
    </row>
    <row r="9" spans="1:21">
      <c r="A9" s="13" t="s">
        <v>98</v>
      </c>
      <c r="B9" s="14">
        <v>22.612353912584275</v>
      </c>
      <c r="C9" s="15">
        <v>-103.0153752661144</v>
      </c>
      <c r="D9" s="15" t="s">
        <v>64</v>
      </c>
      <c r="E9" s="6">
        <v>1</v>
      </c>
      <c r="F9" s="14" t="s">
        <v>51</v>
      </c>
      <c r="G9" s="16">
        <v>1</v>
      </c>
      <c r="H9" s="10"/>
      <c r="I9" s="8">
        <v>22.705217623706716</v>
      </c>
      <c r="J9" s="8">
        <v>-102.24486217586717</v>
      </c>
      <c r="K9" s="8">
        <v>0.2513410697508956</v>
      </c>
      <c r="L9" s="8">
        <v>1.0934326899553017</v>
      </c>
    </row>
    <row r="10" spans="1:21" ht="13.8">
      <c r="A10" s="19" t="s">
        <v>110</v>
      </c>
      <c r="B10" s="20">
        <v>21.869361526603118</v>
      </c>
      <c r="C10" s="20">
        <v>-86.389374757900796</v>
      </c>
      <c r="D10" s="20" t="s">
        <v>12</v>
      </c>
      <c r="E10" s="6">
        <v>1</v>
      </c>
      <c r="F10" s="20" t="s">
        <v>26</v>
      </c>
      <c r="G10" s="21">
        <v>2</v>
      </c>
      <c r="H10" s="3" t="s">
        <v>111</v>
      </c>
      <c r="I10" s="8">
        <v>21.820677772843432</v>
      </c>
      <c r="J10" s="8">
        <v>-90.372491155766994</v>
      </c>
      <c r="K10" s="8">
        <v>0.23328009703098626</v>
      </c>
      <c r="L10" s="8">
        <v>2.1413988849970931</v>
      </c>
    </row>
    <row r="11" spans="1:21" ht="13.8">
      <c r="A11" s="19" t="s">
        <v>121</v>
      </c>
      <c r="B11" s="20">
        <v>23.318000053110939</v>
      </c>
      <c r="C11" s="20">
        <v>-90.668687012862378</v>
      </c>
      <c r="D11" s="20" t="s">
        <v>12</v>
      </c>
      <c r="E11" s="6">
        <v>1</v>
      </c>
      <c r="F11" s="20" t="s">
        <v>38</v>
      </c>
      <c r="G11" s="21">
        <v>2</v>
      </c>
      <c r="I11" s="8">
        <v>22.068054570402829</v>
      </c>
      <c r="J11" s="8">
        <v>-81.366405937724792</v>
      </c>
      <c r="K11" s="8">
        <v>0.27504668291963547</v>
      </c>
      <c r="L11" s="8">
        <v>1.1106258629244588</v>
      </c>
    </row>
    <row r="12" spans="1:21" ht="13.8">
      <c r="A12" s="22" t="s">
        <v>131</v>
      </c>
      <c r="B12" s="23">
        <v>20.960224309261513</v>
      </c>
      <c r="C12" s="23">
        <v>-92.100613307984347</v>
      </c>
      <c r="D12" s="23" t="s">
        <v>12</v>
      </c>
      <c r="E12" s="6">
        <v>1</v>
      </c>
      <c r="F12" s="23" t="s">
        <v>38</v>
      </c>
      <c r="G12" s="24">
        <v>3</v>
      </c>
      <c r="H12" s="3" t="s">
        <v>132</v>
      </c>
      <c r="I12" s="8">
        <v>22.02810046896591</v>
      </c>
      <c r="J12" s="8">
        <v>-97.698990921781018</v>
      </c>
      <c r="K12" s="8">
        <v>0.21822789378323867</v>
      </c>
      <c r="L12" s="8">
        <v>2.0573903353686904</v>
      </c>
    </row>
    <row r="13" spans="1:21" ht="13.8">
      <c r="A13" s="22" t="s">
        <v>142</v>
      </c>
      <c r="B13" s="23">
        <v>21.813179507246304</v>
      </c>
      <c r="C13" s="23">
        <v>-81.529089936464786</v>
      </c>
      <c r="D13" s="23" t="s">
        <v>12</v>
      </c>
      <c r="E13" s="6">
        <v>1</v>
      </c>
      <c r="F13" s="23" t="s">
        <v>51</v>
      </c>
      <c r="G13" s="24">
        <v>3</v>
      </c>
      <c r="I13" s="8">
        <v>22.529087959383197</v>
      </c>
      <c r="J13" s="8">
        <v>-82.984983385913836</v>
      </c>
      <c r="K13" s="8">
        <v>0.23145667435647085</v>
      </c>
      <c r="L13" s="8">
        <v>2.0343659997849128</v>
      </c>
    </row>
    <row r="14" spans="1:21" ht="13.8">
      <c r="A14" s="25" t="s">
        <v>152</v>
      </c>
      <c r="B14" s="26">
        <v>20.443811501200848</v>
      </c>
      <c r="C14" s="26">
        <v>-93.752139343964103</v>
      </c>
      <c r="D14" s="26" t="s">
        <v>64</v>
      </c>
      <c r="E14" s="6">
        <v>1</v>
      </c>
      <c r="F14" s="26" t="s">
        <v>26</v>
      </c>
      <c r="G14" s="27">
        <v>2</v>
      </c>
      <c r="H14" s="10" t="s">
        <v>111</v>
      </c>
      <c r="I14" s="8">
        <v>21.256251348737543</v>
      </c>
      <c r="J14" s="8">
        <v>-98.249778731225931</v>
      </c>
      <c r="K14" s="8">
        <v>0.23328994479918388</v>
      </c>
      <c r="L14" s="8">
        <v>1.0997766943031118</v>
      </c>
    </row>
    <row r="15" spans="1:21" ht="13.8">
      <c r="A15" s="25" t="s">
        <v>162</v>
      </c>
      <c r="B15" s="26">
        <v>20.342881767796612</v>
      </c>
      <c r="C15" s="26">
        <v>-103.90612980711978</v>
      </c>
      <c r="D15" s="26" t="s">
        <v>64</v>
      </c>
      <c r="E15" s="6">
        <v>1</v>
      </c>
      <c r="F15" s="26" t="s">
        <v>38</v>
      </c>
      <c r="G15" s="27">
        <v>2</v>
      </c>
      <c r="H15" s="10" t="s">
        <v>111</v>
      </c>
      <c r="I15" s="8">
        <v>20.805575329951708</v>
      </c>
      <c r="J15" s="8">
        <v>-102.04781665765829</v>
      </c>
      <c r="K15" s="8">
        <v>0.14170982097331494</v>
      </c>
      <c r="L15" s="8">
        <v>1.0369367828204903</v>
      </c>
    </row>
    <row r="16" spans="1:21" ht="13.8">
      <c r="A16" s="19" t="s">
        <v>172</v>
      </c>
      <c r="B16" s="20">
        <v>22.699887894942528</v>
      </c>
      <c r="C16" s="20">
        <v>-84.619719720088483</v>
      </c>
      <c r="D16" s="20" t="s">
        <v>12</v>
      </c>
      <c r="E16" s="6">
        <v>1</v>
      </c>
      <c r="F16" s="20" t="s">
        <v>26</v>
      </c>
      <c r="G16" s="21">
        <v>3</v>
      </c>
      <c r="I16" s="8">
        <v>22.174855379802469</v>
      </c>
      <c r="J16" s="8">
        <v>-84.056366180494749</v>
      </c>
      <c r="K16" s="8">
        <v>0.24685101718554531</v>
      </c>
      <c r="L16" s="8">
        <v>1.7294683159257969</v>
      </c>
    </row>
    <row r="17" spans="1:12" ht="13.8">
      <c r="A17" s="19" t="s">
        <v>182</v>
      </c>
      <c r="B17" s="20">
        <v>21.053018094657123</v>
      </c>
      <c r="C17" s="20">
        <v>-79.446142655525236</v>
      </c>
      <c r="D17" s="20" t="s">
        <v>12</v>
      </c>
      <c r="E17" s="6">
        <v>1</v>
      </c>
      <c r="F17" s="20" t="s">
        <v>26</v>
      </c>
      <c r="G17" s="21">
        <v>4</v>
      </c>
      <c r="H17" s="3" t="s">
        <v>183</v>
      </c>
      <c r="I17" s="8">
        <v>22.170171712435344</v>
      </c>
      <c r="J17" s="8">
        <v>-84.87507963200423</v>
      </c>
      <c r="K17" s="8">
        <v>0.2874452438661077</v>
      </c>
      <c r="L17" s="8">
        <v>2.1001479512490318</v>
      </c>
    </row>
    <row r="18" spans="1:12" ht="13.8">
      <c r="A18" s="19" t="s">
        <v>193</v>
      </c>
      <c r="B18" s="20">
        <v>21.132178669876122</v>
      </c>
      <c r="C18" s="20">
        <v>-96.714913087733223</v>
      </c>
      <c r="D18" s="20" t="s">
        <v>12</v>
      </c>
      <c r="E18" s="6">
        <v>1</v>
      </c>
      <c r="F18" s="20" t="s">
        <v>38</v>
      </c>
      <c r="G18" s="21">
        <v>4</v>
      </c>
      <c r="I18" s="8">
        <v>22.040942073390319</v>
      </c>
      <c r="J18" s="8">
        <v>-97.737716201792097</v>
      </c>
      <c r="K18" s="8">
        <v>0.21885395811578007</v>
      </c>
      <c r="L18" s="8">
        <v>1.7929543500418066</v>
      </c>
    </row>
    <row r="19" spans="1:12" ht="13.8">
      <c r="A19" s="19" t="s">
        <v>203</v>
      </c>
      <c r="B19" s="20">
        <v>20.106279604086481</v>
      </c>
      <c r="C19" s="20">
        <v>-119.26414698357073</v>
      </c>
      <c r="D19" s="20" t="s">
        <v>64</v>
      </c>
      <c r="E19" s="6">
        <v>1</v>
      </c>
      <c r="F19" s="20" t="s">
        <v>38</v>
      </c>
      <c r="G19" s="21">
        <v>3</v>
      </c>
      <c r="I19" s="8">
        <v>20.927471621264644</v>
      </c>
      <c r="J19" s="8">
        <v>-111.92085129530217</v>
      </c>
      <c r="K19" s="8">
        <v>0.20435134699429616</v>
      </c>
      <c r="L19" s="8">
        <v>0.79754472277016308</v>
      </c>
    </row>
    <row r="20" spans="1:12" ht="13.8">
      <c r="A20" s="19" t="s">
        <v>213</v>
      </c>
      <c r="B20" s="20">
        <v>20.531877641131999</v>
      </c>
      <c r="C20" s="20">
        <v>-85.980759804959035</v>
      </c>
      <c r="D20" s="20" t="s">
        <v>64</v>
      </c>
      <c r="E20" s="6">
        <v>1</v>
      </c>
      <c r="F20" s="20" t="s">
        <v>26</v>
      </c>
      <c r="G20" s="21">
        <v>3</v>
      </c>
      <c r="H20" s="3" t="s">
        <v>132</v>
      </c>
      <c r="I20" s="8">
        <v>20.708009920994286</v>
      </c>
      <c r="J20" s="8">
        <v>-95.627555493225799</v>
      </c>
      <c r="K20" s="8">
        <v>0.15130899107500775</v>
      </c>
      <c r="L20" s="8">
        <v>1.1597326411064495</v>
      </c>
    </row>
    <row r="21" spans="1:12" ht="13.8">
      <c r="A21" s="28" t="s">
        <v>223</v>
      </c>
      <c r="B21" s="29">
        <v>20.977045931495546</v>
      </c>
      <c r="C21" s="29">
        <v>-106.86857504567652</v>
      </c>
      <c r="D21" s="29" t="s">
        <v>64</v>
      </c>
      <c r="E21" s="6">
        <v>1</v>
      </c>
      <c r="F21" s="29" t="s">
        <v>26</v>
      </c>
      <c r="G21" s="30">
        <v>4</v>
      </c>
      <c r="H21" s="31" t="s">
        <v>183</v>
      </c>
      <c r="I21" s="8">
        <v>21.310410903886588</v>
      </c>
      <c r="J21" s="8">
        <v>-104.58520531443087</v>
      </c>
      <c r="K21" s="8">
        <v>0.13276324085320809</v>
      </c>
      <c r="L21" s="8">
        <v>1.1700964499810298</v>
      </c>
    </row>
    <row r="22" spans="1:12" ht="13.8">
      <c r="A22" s="28" t="s">
        <v>233</v>
      </c>
      <c r="B22" s="29">
        <v>19.614384585295038</v>
      </c>
      <c r="C22" s="29">
        <v>-96.788440533195455</v>
      </c>
      <c r="D22" s="29" t="s">
        <v>64</v>
      </c>
      <c r="E22" s="6">
        <v>1</v>
      </c>
      <c r="F22" s="29" t="s">
        <v>38</v>
      </c>
      <c r="G22" s="30">
        <v>4</v>
      </c>
      <c r="H22" s="31" t="s">
        <v>183</v>
      </c>
      <c r="I22" s="8">
        <v>20.282697741581501</v>
      </c>
      <c r="J22" s="8">
        <v>-97.126068042885436</v>
      </c>
      <c r="K22" s="8">
        <v>0.17355084807049825</v>
      </c>
      <c r="L22" s="8">
        <v>0.6778075675513684</v>
      </c>
    </row>
    <row r="23" spans="1:12" ht="13.8">
      <c r="A23" s="32" t="s">
        <v>243</v>
      </c>
      <c r="B23" s="33">
        <v>18.610321737985039</v>
      </c>
      <c r="C23" s="34">
        <v>-110.70590011124183</v>
      </c>
      <c r="D23" s="35" t="s">
        <v>64</v>
      </c>
      <c r="E23" s="6">
        <v>1</v>
      </c>
      <c r="F23" s="35" t="s">
        <v>38</v>
      </c>
      <c r="G23" s="36">
        <v>5</v>
      </c>
      <c r="H23" s="36" t="s">
        <v>244</v>
      </c>
      <c r="I23" s="8">
        <v>19.82629507037937</v>
      </c>
      <c r="J23" s="8">
        <v>-106.54949171165265</v>
      </c>
      <c r="K23" s="8">
        <v>0.30327790851775388</v>
      </c>
      <c r="L23" s="8">
        <v>2.8894284660008123</v>
      </c>
    </row>
    <row r="24" spans="1:12" ht="13.8">
      <c r="A24" s="40" t="s">
        <v>254</v>
      </c>
      <c r="B24" s="41">
        <v>21.456177767083609</v>
      </c>
      <c r="C24" s="42">
        <v>-102.4310999281192</v>
      </c>
      <c r="D24" s="29" t="s">
        <v>64</v>
      </c>
      <c r="E24" s="6">
        <v>1</v>
      </c>
      <c r="F24" s="29" t="s">
        <v>26</v>
      </c>
      <c r="G24" s="31">
        <v>5</v>
      </c>
      <c r="H24" s="31"/>
      <c r="I24" s="8">
        <v>20.853057352045528</v>
      </c>
      <c r="J24" s="8">
        <v>-104.83581119883425</v>
      </c>
      <c r="K24" s="8">
        <v>0.13376102064136311</v>
      </c>
      <c r="L24" s="8">
        <v>1.2082923680904059</v>
      </c>
    </row>
    <row r="25" spans="1:12" ht="13.8">
      <c r="A25" s="40" t="s">
        <v>264</v>
      </c>
      <c r="B25" s="42">
        <v>22.231349457543956</v>
      </c>
      <c r="C25" s="42">
        <v>-97.977747607350167</v>
      </c>
      <c r="D25" s="29" t="s">
        <v>12</v>
      </c>
      <c r="E25" s="6">
        <v>1</v>
      </c>
      <c r="F25" s="29" t="s">
        <v>38</v>
      </c>
      <c r="G25" s="31">
        <v>5</v>
      </c>
      <c r="H25" s="31"/>
      <c r="I25" s="8">
        <v>22.121182508802484</v>
      </c>
      <c r="J25" s="8">
        <v>-93.693347036324226</v>
      </c>
      <c r="K25" s="8">
        <v>0.21543841963769597</v>
      </c>
      <c r="L25" s="8">
        <v>2.7028186500165359</v>
      </c>
    </row>
    <row r="26" spans="1:12" ht="13.8">
      <c r="A26" s="43" t="s">
        <v>274</v>
      </c>
      <c r="B26" s="42"/>
      <c r="C26" s="42"/>
      <c r="D26" s="29" t="s">
        <v>12</v>
      </c>
      <c r="E26" s="6">
        <v>1</v>
      </c>
      <c r="F26" s="29" t="s">
        <v>26</v>
      </c>
      <c r="G26" s="30">
        <v>5</v>
      </c>
      <c r="H26" s="31"/>
      <c r="I26" s="8">
        <v>20.614850791147159</v>
      </c>
      <c r="J26" s="8">
        <v>-92.235105591005407</v>
      </c>
      <c r="K26" s="8">
        <v>0.34305759199123992</v>
      </c>
      <c r="L26" s="8">
        <v>2.7454205131016902</v>
      </c>
    </row>
    <row r="27" spans="1:12" ht="13.8">
      <c r="A27" s="40" t="s">
        <v>284</v>
      </c>
      <c r="B27" s="42">
        <v>20.656959943049969</v>
      </c>
      <c r="C27" s="42">
        <v>-108.6955698578758</v>
      </c>
      <c r="D27" s="29" t="s">
        <v>64</v>
      </c>
      <c r="E27" s="6">
        <v>1</v>
      </c>
      <c r="F27" s="29" t="s">
        <v>38</v>
      </c>
      <c r="G27" s="30">
        <v>6</v>
      </c>
      <c r="H27" s="44" t="s">
        <v>285</v>
      </c>
      <c r="I27" s="8">
        <v>19.168043047524662</v>
      </c>
      <c r="J27" s="8">
        <v>-107.86597351560476</v>
      </c>
      <c r="K27" s="8">
        <v>0.23954594508100563</v>
      </c>
      <c r="L27" s="8">
        <v>2.4693252239568126</v>
      </c>
    </row>
    <row r="28" spans="1:12" ht="13.8">
      <c r="A28" s="40" t="s">
        <v>295</v>
      </c>
      <c r="B28" s="42">
        <v>21.180142375081573</v>
      </c>
      <c r="C28" s="42">
        <v>-103.83557287962533</v>
      </c>
      <c r="D28" s="29" t="s">
        <v>64</v>
      </c>
      <c r="E28" s="6">
        <v>1</v>
      </c>
      <c r="F28" s="29" t="s">
        <v>26</v>
      </c>
      <c r="G28" s="30">
        <v>6</v>
      </c>
      <c r="H28" s="31"/>
      <c r="I28" s="8">
        <v>20.609183974428319</v>
      </c>
      <c r="J28" s="8">
        <v>-102.30186371030992</v>
      </c>
      <c r="K28" s="8">
        <v>0.11419701048545754</v>
      </c>
      <c r="L28" s="8">
        <v>1.0982142416550005</v>
      </c>
    </row>
    <row r="29" spans="1:12" ht="13.8">
      <c r="A29" s="40" t="s">
        <v>305</v>
      </c>
      <c r="B29" s="42">
        <v>21.319171153691805</v>
      </c>
      <c r="C29" s="42">
        <v>-105.72117204658892</v>
      </c>
      <c r="D29" s="29" t="s">
        <v>12</v>
      </c>
      <c r="E29" s="6">
        <v>1</v>
      </c>
      <c r="F29" s="29" t="s">
        <v>38</v>
      </c>
      <c r="G29" s="30">
        <v>6</v>
      </c>
      <c r="H29" s="31"/>
      <c r="I29" s="8">
        <v>21.523982901031872</v>
      </c>
      <c r="J29" s="8">
        <v>-90.700701246714885</v>
      </c>
      <c r="K29" s="8">
        <v>0.11715627331112301</v>
      </c>
      <c r="L29" s="8">
        <v>2.9252879458245076</v>
      </c>
    </row>
    <row r="30" spans="1:12" ht="13.8">
      <c r="A30" s="40" t="s">
        <v>315</v>
      </c>
      <c r="B30" s="42">
        <v>22.434951686691072</v>
      </c>
      <c r="C30" s="42">
        <v>-96.058534849981754</v>
      </c>
      <c r="D30" s="29" t="s">
        <v>12</v>
      </c>
      <c r="E30" s="6">
        <v>1</v>
      </c>
      <c r="F30" s="29" t="s">
        <v>26</v>
      </c>
      <c r="G30" s="30">
        <v>6</v>
      </c>
      <c r="H30" s="31"/>
      <c r="I30" s="8">
        <v>21.593933369857663</v>
      </c>
      <c r="J30" s="8">
        <v>-86.652909453730132</v>
      </c>
      <c r="K30" s="8">
        <v>0.31093542262836876</v>
      </c>
      <c r="L30" s="8">
        <v>2.0434796904849648</v>
      </c>
    </row>
    <row r="31" spans="1:12" ht="13.8">
      <c r="A31" s="40" t="s">
        <v>325</v>
      </c>
      <c r="B31" s="41">
        <v>19.722154438145321</v>
      </c>
      <c r="C31" s="42">
        <v>-101.15638647842756</v>
      </c>
      <c r="D31" s="29" t="s">
        <v>64</v>
      </c>
      <c r="E31" s="6">
        <v>1</v>
      </c>
      <c r="F31" s="29" t="s">
        <v>38</v>
      </c>
      <c r="G31" s="30">
        <v>7</v>
      </c>
      <c r="H31" s="44" t="s">
        <v>326</v>
      </c>
      <c r="I31" s="8">
        <v>20.317823158874923</v>
      </c>
      <c r="J31" s="8">
        <v>-102.27085314070183</v>
      </c>
      <c r="K31" s="8">
        <v>0.11798330450732135</v>
      </c>
      <c r="L31" s="8">
        <v>0.84646666979525353</v>
      </c>
    </row>
    <row r="32" spans="1:12" ht="13.8">
      <c r="A32" s="40" t="s">
        <v>336</v>
      </c>
      <c r="B32" s="41">
        <v>21.132816002910904</v>
      </c>
      <c r="C32" s="42">
        <v>-97.983024372779084</v>
      </c>
      <c r="D32" s="29" t="s">
        <v>64</v>
      </c>
      <c r="E32" s="6">
        <v>1</v>
      </c>
      <c r="F32" s="29" t="s">
        <v>26</v>
      </c>
      <c r="G32" s="30">
        <v>7</v>
      </c>
      <c r="H32" s="31"/>
      <c r="I32" s="8">
        <v>20.75502075777316</v>
      </c>
      <c r="J32" s="8">
        <v>-99.675268784307477</v>
      </c>
      <c r="K32" s="8">
        <v>0.25989719803828149</v>
      </c>
      <c r="L32" s="8">
        <v>1.6951291909147996</v>
      </c>
    </row>
    <row r="33" spans="1:12" ht="13.8">
      <c r="A33" s="40" t="s">
        <v>346</v>
      </c>
      <c r="B33" s="41">
        <v>22.461673044043014</v>
      </c>
      <c r="C33" s="42">
        <v>-91.768892469175725</v>
      </c>
      <c r="D33" s="29" t="s">
        <v>12</v>
      </c>
      <c r="E33" s="6">
        <v>1</v>
      </c>
      <c r="F33" s="29" t="s">
        <v>38</v>
      </c>
      <c r="G33" s="30">
        <v>7</v>
      </c>
      <c r="H33" s="31"/>
      <c r="I33" s="8">
        <v>21.439509587583274</v>
      </c>
      <c r="J33" s="8">
        <v>-89.103566197887574</v>
      </c>
      <c r="K33" s="8">
        <v>0.54815095887502485</v>
      </c>
      <c r="L33" s="8">
        <v>3.520815798128099</v>
      </c>
    </row>
    <row r="34" spans="1:12" ht="13.8">
      <c r="A34" s="40" t="s">
        <v>356</v>
      </c>
      <c r="B34" s="41">
        <v>23.683767679613133</v>
      </c>
      <c r="C34" s="42">
        <v>-88.661873114446337</v>
      </c>
      <c r="D34" s="29" t="s">
        <v>12</v>
      </c>
      <c r="E34" s="6">
        <v>1</v>
      </c>
      <c r="F34" s="29" t="s">
        <v>26</v>
      </c>
      <c r="G34" s="30">
        <v>7</v>
      </c>
      <c r="H34" s="31"/>
      <c r="I34" s="8">
        <v>21.497191098278115</v>
      </c>
      <c r="J34" s="8">
        <v>-82.136817162658772</v>
      </c>
      <c r="K34" s="8">
        <v>0.56774863020965416</v>
      </c>
      <c r="L34" s="8">
        <v>4.2004066696483848</v>
      </c>
    </row>
    <row r="35" spans="1:12" ht="13.8">
      <c r="A35" s="40" t="s">
        <v>366</v>
      </c>
      <c r="B35" s="41">
        <v>20.4956046378785</v>
      </c>
      <c r="C35" s="42">
        <v>-104.66697196378105</v>
      </c>
      <c r="D35" s="29" t="s">
        <v>64</v>
      </c>
      <c r="E35" s="6">
        <v>1</v>
      </c>
      <c r="F35" s="29" t="s">
        <v>38</v>
      </c>
      <c r="G35" s="30">
        <v>8</v>
      </c>
      <c r="H35" s="31" t="s">
        <v>109</v>
      </c>
      <c r="I35" s="8">
        <v>19.637001682375384</v>
      </c>
      <c r="J35" s="8">
        <v>-106.23600722082033</v>
      </c>
      <c r="K35" s="8">
        <v>0.31845037132206894</v>
      </c>
      <c r="L35" s="8">
        <v>1.4752903957862116</v>
      </c>
    </row>
    <row r="36" spans="1:12" ht="13.8">
      <c r="A36" s="40" t="s">
        <v>376</v>
      </c>
      <c r="B36" s="41">
        <v>21.178097950762481</v>
      </c>
      <c r="C36" s="42">
        <v>-101.89170312191258</v>
      </c>
      <c r="D36" s="29" t="s">
        <v>64</v>
      </c>
      <c r="E36" s="6">
        <v>1</v>
      </c>
      <c r="F36" s="29" t="s">
        <v>26</v>
      </c>
      <c r="G36" s="30">
        <v>8</v>
      </c>
      <c r="H36" s="31"/>
      <c r="I36" s="8">
        <v>21.576255761483527</v>
      </c>
      <c r="J36" s="8">
        <v>-100.67816762174667</v>
      </c>
      <c r="K36" s="8">
        <v>0.23421969005887719</v>
      </c>
      <c r="L36" s="8">
        <v>1.4367347872971927</v>
      </c>
    </row>
    <row r="37" spans="1:12" ht="13.8">
      <c r="A37" s="40" t="s">
        <v>386</v>
      </c>
      <c r="B37" s="41">
        <v>22.650271964453648</v>
      </c>
      <c r="C37" s="42">
        <v>-99.519584340806716</v>
      </c>
      <c r="D37" s="29" t="s">
        <v>12</v>
      </c>
      <c r="E37" s="6">
        <v>1</v>
      </c>
      <c r="F37" s="29" t="s">
        <v>38</v>
      </c>
      <c r="G37" s="30">
        <v>8</v>
      </c>
      <c r="H37" s="31"/>
      <c r="I37" s="8">
        <v>21.440499983045857</v>
      </c>
      <c r="J37" s="8">
        <v>-101.35089286926619</v>
      </c>
      <c r="K37" s="8">
        <v>0.3479648565946909</v>
      </c>
      <c r="L37" s="8">
        <v>2.1639410141166016</v>
      </c>
    </row>
  </sheetData>
  <autoFilter ref="A1:L37" xr:uid="{E0E01766-4BE6-46CD-990A-C74C47019C97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AllSorges 2 NL No Legend Order2</vt:lpstr>
      <vt:lpstr>AllSorgesMean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Del Hoyo</dc:creator>
  <cp:lastModifiedBy>Javier Del Hoyo Gibaja</cp:lastModifiedBy>
  <dcterms:created xsi:type="dcterms:W3CDTF">2024-07-08T18:48:20Z</dcterms:created>
  <dcterms:modified xsi:type="dcterms:W3CDTF">2026-02-27T11:17:21Z</dcterms:modified>
</cp:coreProperties>
</file>